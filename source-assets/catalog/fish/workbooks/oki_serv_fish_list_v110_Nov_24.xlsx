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ki_serv\"/>
    </mc:Choice>
  </mc:AlternateContent>
  <xr:revisionPtr revIDLastSave="0" documentId="13_ncr:1_{D1EBDE0C-36F6-456D-8BE5-C5DFF46087AC}" xr6:coauthVersionLast="47" xr6:coauthVersionMax="47" xr10:uidLastSave="{00000000-0000-0000-0000-000000000000}"/>
  <bookViews>
    <workbookView xWindow="1940" yWindow="920" windowWidth="21720" windowHeight="14360" xr2:uid="{00000000-000D-0000-FFFF-FFFF00000000}"/>
  </bookViews>
  <sheets>
    <sheet name="鱼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</calcChain>
</file>

<file path=xl/sharedStrings.xml><?xml version="1.0" encoding="utf-8"?>
<sst xmlns="http://schemas.openxmlformats.org/spreadsheetml/2006/main" count="773" uniqueCount="431">
  <si>
    <t>中文常见名字</t>
  </si>
  <si>
    <t>中文学名</t>
  </si>
  <si>
    <t>拉丁物种名</t>
  </si>
  <si>
    <t>json名</t>
  </si>
  <si>
    <t>ID/Custom Model Data</t>
  </si>
  <si>
    <t>尺寸单位价格/🌸</t>
  </si>
  <si>
    <t>个体单位价格/🌸</t>
  </si>
  <si>
    <t>概率/加权平均值🌸</t>
  </si>
  <si>
    <t>稀有度⭐</t>
  </si>
  <si>
    <t>习性🌙</t>
  </si>
  <si>
    <t>给予效果💊</t>
  </si>
  <si>
    <t>材质type</t>
  </si>
  <si>
    <t>原版对应icon</t>
  </si>
  <si>
    <t>分割</t>
  </si>
  <si>
    <t>MC地形类型</t>
  </si>
  <si>
    <t>稀有度期望占比</t>
  </si>
  <si>
    <t>稀有度期望价格范围</t>
  </si>
  <si>
    <t>日期望价格</t>
  </si>
  <si>
    <t>鲫鱼</t>
  </si>
  <si>
    <t>鲫</t>
  </si>
  <si>
    <t>Carassius auratus</t>
  </si>
  <si>
    <t>JiYu</t>
  </si>
  <si>
    <t>10~35</t>
  </si>
  <si>
    <t>钓鱼插件</t>
  </si>
  <si>
    <t>河流 river</t>
  </si>
  <si>
    <t>垃圾 1</t>
  </si>
  <si>
    <t>鲤鱼</t>
  </si>
  <si>
    <t>鲤</t>
  </si>
  <si>
    <t>Cyprinus carpio</t>
  </si>
  <si>
    <t>LiYu</t>
  </si>
  <si>
    <t>15~105</t>
  </si>
  <si>
    <t>太好听了吧~</t>
  </si>
  <si>
    <t>恶地 badlands</t>
  </si>
  <si>
    <t>普通 2</t>
  </si>
  <si>
    <t>锦鲤</t>
  </si>
  <si>
    <t>Cyprinus rubrofuscus haematopterus</t>
  </si>
  <si>
    <t>JinLi</t>
  </si>
  <si>
    <t>听说会带来好运的鱼</t>
  </si>
  <si>
    <t>tropical_fish</t>
  </si>
  <si>
    <t>沼泽 swampland</t>
  </si>
  <si>
    <t>少见 3</t>
  </si>
  <si>
    <t>昭和三色锦鲤</t>
  </si>
  <si>
    <t>红树林沼泽 mangrove_swamp</t>
  </si>
  <si>
    <t>稀有 4</t>
  </si>
  <si>
    <t>大正三色锦鲤</t>
  </si>
  <si>
    <t>史诗 5</t>
  </si>
  <si>
    <t>大白锦鲤</t>
  </si>
  <si>
    <t>传说 6</t>
  </si>
  <si>
    <t>金鱼</t>
  </si>
  <si>
    <t>Carassius auratus auratus</t>
  </si>
  <si>
    <t>JinYu</t>
  </si>
  <si>
    <t>1~10</t>
  </si>
  <si>
    <t>金鱼的记忆是几秒来着…</t>
  </si>
  <si>
    <t>深海 deep_ocean</t>
  </si>
  <si>
    <t>神级 7</t>
  </si>
  <si>
    <t>龙睛金鱼</t>
  </si>
  <si>
    <t>LongJingJinYu</t>
  </si>
  <si>
    <t>冷水海洋 cold_ocean</t>
  </si>
  <si>
    <t>绝绝子 8</t>
  </si>
  <si>
    <t>珍珠金鱼</t>
  </si>
  <si>
    <t>ZhenZhuJinYu</t>
  </si>
  <si>
    <t>温水海洋 lukewarm_ocean</t>
  </si>
  <si>
    <t>？？？</t>
  </si>
  <si>
    <t>水泡金鱼</t>
  </si>
  <si>
    <t>ShuiPaoJinYu</t>
  </si>
  <si>
    <t>water_breathing (2min)</t>
  </si>
  <si>
    <t>温水深海 deep_lukewarm_ocean</t>
  </si>
  <si>
    <t>望天金鱼</t>
  </si>
  <si>
    <t>WangTianJinYu</t>
  </si>
  <si>
    <t>暖水海洋 warm_ocean</t>
  </si>
  <si>
    <t>公子小丑鱼</t>
  </si>
  <si>
    <t>Amphiprion ocellaris</t>
  </si>
  <si>
    <t>GongZiXiaoChouYu</t>
  </si>
  <si>
    <t>5~12</t>
  </si>
  <si>
    <t>冷水深海 deep_cold_ocean</t>
  </si>
  <si>
    <t>红小丑鱼</t>
  </si>
  <si>
    <t>红小丑</t>
  </si>
  <si>
    <t>Amphiprion frenatus</t>
  </si>
  <si>
    <t>HongXiaoChouYu</t>
  </si>
  <si>
    <t>溶洞 dripstone_caves</t>
  </si>
  <si>
    <t>透红小丑鱼</t>
  </si>
  <si>
    <t>Premnas biaculeatus</t>
  </si>
  <si>
    <t>TouHongXiaoChouYu</t>
  </si>
  <si>
    <t>繁茂洞穴 lush_caves</t>
  </si>
  <si>
    <t>香鱼</t>
  </si>
  <si>
    <t>Plecoglossus altivelis</t>
  </si>
  <si>
    <t>XiangYu</t>
  </si>
  <si>
    <t>12~32</t>
  </si>
  <si>
    <t>saturation VIII (2min)</t>
  </si>
  <si>
    <t>兄弟你好香</t>
  </si>
  <si>
    <t>竹林 bamboo_jungle</t>
  </si>
  <si>
    <t>花鲈 (七星鲈鱼)</t>
  </si>
  <si>
    <t>日本真鲈</t>
  </si>
  <si>
    <t>Lateolabrax japonicus</t>
  </si>
  <si>
    <t>HuaLu</t>
  </si>
  <si>
    <t>14~37</t>
  </si>
  <si>
    <t>玄武岩三角洲 basalt_deltas</t>
  </si>
  <si>
    <t>鲶鱼</t>
  </si>
  <si>
    <t>鲇</t>
  </si>
  <si>
    <t>Silurus asotus</t>
  </si>
  <si>
    <t>NianYu</t>
  </si>
  <si>
    <t>20~100</t>
  </si>
  <si>
    <t>沙滩 beach</t>
  </si>
  <si>
    <t>泥鳅</t>
  </si>
  <si>
    <t>Misgurnus anguillicaudatus</t>
  </si>
  <si>
    <t>NiQiu</t>
  </si>
  <si>
    <t>5~25</t>
  </si>
  <si>
    <t>抓住！要滑走了！</t>
  </si>
  <si>
    <t>桦木森林 birch_forest</t>
  </si>
  <si>
    <t>甲鱼</t>
  </si>
  <si>
    <t>鳖</t>
  </si>
  <si>
    <t>Pelodiscus sinensis</t>
  </si>
  <si>
    <t>JiaYu</t>
  </si>
  <si>
    <t>14~23</t>
  </si>
  <si>
    <t>鳖说了</t>
  </si>
  <si>
    <t>樱花树林 cherry_grove</t>
  </si>
  <si>
    <t>是…是鱼吗…</t>
  </si>
  <si>
    <t>绯红森林 crimson_forest</t>
  </si>
  <si>
    <t>鱼鳞</t>
    <phoneticPr fontId="1" type="noConversion"/>
  </si>
  <si>
    <t>YuLin</t>
  </si>
  <si>
    <t>普通的鱼鳞</t>
  </si>
  <si>
    <t>黑森林 dark_forest</t>
  </si>
  <si>
    <t>神仙鱼 (天使鱼)</t>
  </si>
  <si>
    <t>神仙鱼</t>
  </si>
  <si>
    <t>Pterophyllum scalare</t>
  </si>
  <si>
    <t>ShenXianYu</t>
  </si>
  <si>
    <t>8~15</t>
  </si>
  <si>
    <t>深暗之域 deep_dark</t>
  </si>
  <si>
    <t>5~11</t>
  </si>
  <si>
    <t>冷冻深海 deep_frozen_ocean</t>
  </si>
  <si>
    <t>拟刺尾鲷</t>
  </si>
  <si>
    <t>Paracanthurus hepatus</t>
  </si>
  <si>
    <t>NiCiWeiDiao</t>
  </si>
  <si>
    <t>像是蓝宝石一样</t>
  </si>
  <si>
    <t>沙漠 desert</t>
  </si>
  <si>
    <t>狮子鱼</t>
  </si>
  <si>
    <t>蓑鲉</t>
  </si>
  <si>
    <t>Pterois volitans</t>
  </si>
  <si>
    <t>ShiZiYu</t>
  </si>
  <si>
    <t>21~54</t>
  </si>
  <si>
    <t>poison I (1s)</t>
  </si>
  <si>
    <t>末地荒地 end_barrens</t>
  </si>
  <si>
    <t>刺豚</t>
  </si>
  <si>
    <t>Diodon nicthemerus</t>
  </si>
  <si>
    <t>CiTun</t>
  </si>
  <si>
    <t>20~50</t>
  </si>
  <si>
    <t>末地高地 end_highlands</t>
  </si>
  <si>
    <t>太平洋蓝鳍金枪鱼</t>
  </si>
  <si>
    <t>Thunnus orientalis</t>
  </si>
  <si>
    <t>TaiPingYangLanQiJinQiangYu</t>
  </si>
  <si>
    <t>90~300</t>
  </si>
  <si>
    <t>末地内陆 end_midlands</t>
  </si>
  <si>
    <t>大西洋蓝鳍金枪鱼</t>
  </si>
  <si>
    <t>Thunnus thynnus</t>
  </si>
  <si>
    <t>DaXiYnagLanQiJinQiangYu</t>
  </si>
  <si>
    <t>风蚀恶地 eroded_badlands</t>
  </si>
  <si>
    <t>刺海马</t>
  </si>
  <si>
    <t>Hippocampus histrix</t>
  </si>
  <si>
    <t>CiHaiMa</t>
  </si>
  <si>
    <t>3~17</t>
  </si>
  <si>
    <t>繁花森林 flower_forest</t>
  </si>
  <si>
    <t>管海马</t>
  </si>
  <si>
    <t>Hippocampus kuda</t>
  </si>
  <si>
    <t>GuanHaiMa</t>
  </si>
  <si>
    <t>3~18</t>
  </si>
  <si>
    <t>冰封山峰 frozen_peaks</t>
  </si>
  <si>
    <t>北鱿鱼</t>
  </si>
  <si>
    <t>太平洋褶柔鱼</t>
  </si>
  <si>
    <t>Todarodes pacificus</t>
  </si>
  <si>
    <t>BeiYouYu</t>
  </si>
  <si>
    <t>8~32</t>
  </si>
  <si>
    <t>雪林 grove</t>
  </si>
  <si>
    <t>大西洋旗鱼</t>
  </si>
  <si>
    <t>Istiophorus albicans</t>
  </si>
  <si>
    <t>DaXiYangQiYu</t>
  </si>
  <si>
    <t>90~315</t>
  </si>
  <si>
    <t>speed IX (1min)</t>
  </si>
  <si>
    <t>尖峭山峰 jagged_peaks</t>
  </si>
  <si>
    <t>宽花鲈</t>
  </si>
  <si>
    <t>Lateolabrax latus</t>
  </si>
  <si>
    <t>KuanHuaLu</t>
  </si>
  <si>
    <t>14~30</t>
  </si>
  <si>
    <t>丛林 jungle</t>
  </si>
  <si>
    <t>花鲆</t>
  </si>
  <si>
    <t>Tephrinectes sinensis</t>
  </si>
  <si>
    <t>HuaPing</t>
  </si>
  <si>
    <t>17~37</t>
  </si>
  <si>
    <t>草甸 meadow</t>
  </si>
  <si>
    <t>蘑菇岛 mushroom_fields</t>
  </si>
  <si>
    <t>黑鲷</t>
  </si>
  <si>
    <t>黑棘鲷</t>
  </si>
  <si>
    <t>Acanthopagrus schlegelii subsp. Schlegelii</t>
  </si>
  <si>
    <t>HeiDiao</t>
  </si>
  <si>
    <t>14~61</t>
  </si>
  <si>
    <t>下届荒地 nether_wastes</t>
  </si>
  <si>
    <t>竹夹鱼</t>
  </si>
  <si>
    <t>Trachurus japonicus</t>
  </si>
  <si>
    <t>ZhuJiaYu</t>
  </si>
  <si>
    <t>10~25</t>
  </si>
  <si>
    <t>原始桦木森林 old_growth_birch_forest</t>
  </si>
  <si>
    <t>原始松木针叶林 old_growth_pine_taiga</t>
  </si>
  <si>
    <t>原始云杉针叶林 old_growth_spruce_taiga</t>
  </si>
  <si>
    <t>平原 plain</t>
  </si>
  <si>
    <t>热带草原 savanna</t>
  </si>
  <si>
    <t>热带高原 savanna_plateau</t>
  </si>
  <si>
    <t>末地小型岛屿 small_end_islands</t>
  </si>
  <si>
    <t>积雪沙滩 snowy_beach</t>
  </si>
  <si>
    <t>雪原 snowy_plains</t>
  </si>
  <si>
    <t>积雪山坡 snowy_slopes</t>
  </si>
  <si>
    <t>积雪针叶林 snowy_taiga</t>
  </si>
  <si>
    <t>灵魂沙峡谷 soul_sand_valley</t>
  </si>
  <si>
    <t>稀疏丛林 sparse_jungle</t>
  </si>
  <si>
    <t>裸岩山峰 stony_peaks</t>
  </si>
  <si>
    <t>石岸 stony_shore</t>
  </si>
  <si>
    <t>向日葵平原 sunflower_plains</t>
  </si>
  <si>
    <t>针叶林 taiga</t>
  </si>
  <si>
    <t>虚空 the_void</t>
  </si>
  <si>
    <t>诡异森林 warped_forest</t>
  </si>
  <si>
    <t>风袭森林 windswept_forest</t>
  </si>
  <si>
    <t>风袭沙砾丘陵 windswept_gravelly_hills</t>
  </si>
  <si>
    <t>风袭丘陵 windswept_hills</t>
  </si>
  <si>
    <t>风袭热带草原 windswept_savanna</t>
  </si>
  <si>
    <t>疏林恶地 wooded_badlands</t>
  </si>
  <si>
    <t>海洋 ocean</t>
  </si>
  <si>
    <t>冻河 frozen_river</t>
  </si>
  <si>
    <t>冻洋 frozen_ocean</t>
  </si>
  <si>
    <t>地形分类🏞️</t>
  </si>
  <si>
    <t>生物现实分布🍂</t>
  </si>
  <si>
    <t>亚马逊河流域(热带雨林淡水河流域)</t>
  </si>
  <si>
    <t>鲫鱼怎么叫？</t>
  </si>
  <si>
    <t>很老的好运</t>
  </si>
  <si>
    <t>比较新的好运</t>
  </si>
  <si>
    <t>白色的好运</t>
  </si>
  <si>
    <t>但是它的眼睛怎么那么大</t>
  </si>
  <si>
    <t>自古ct就抬头</t>
  </si>
  <si>
    <t>好大的鳃</t>
  </si>
  <si>
    <t>鲇鱼？鲶鱼？</t>
  </si>
  <si>
    <t>珍珠金鱼奶茶！</t>
  </si>
  <si>
    <t>mine！mine！mine！</t>
  </si>
  <si>
    <t>アジフライ</t>
  </si>
  <si>
    <t>有钱的小丑鱼</t>
  </si>
  <si>
    <t>透的红小丑鱼</t>
  </si>
  <si>
    <t>很好吃</t>
  </si>
  <si>
    <t>好吃</t>
  </si>
  <si>
    <t>鱿鱼的最常见形态</t>
  </si>
  <si>
    <t>男妈妈</t>
  </si>
  <si>
    <t>右鲆</t>
  </si>
  <si>
    <t>好吃死了</t>
  </si>
  <si>
    <t>常见的鲷</t>
  </si>
  <si>
    <t>好吃的鲷</t>
  </si>
  <si>
    <t>普通的鲈鱼</t>
  </si>
  <si>
    <t>很漂亮</t>
  </si>
  <si>
    <t>丑美丑美的鱼(有毒)</t>
  </si>
  <si>
    <t>近海</t>
  </si>
  <si>
    <t>N</t>
  </si>
  <si>
    <t>ZhaoHeSanSeJinLi</t>
  </si>
  <si>
    <t>DaZhengSanSeJinLi</t>
  </si>
  <si>
    <t>DaBaiJinLi</t>
  </si>
  <si>
    <t>简介📑</t>
  </si>
  <si>
    <t>地形替换</t>
  </si>
  <si>
    <t>鱼类稀有度/num</t>
  </si>
  <si>
    <t>地形启用与否</t>
  </si>
  <si>
    <t>习性🌧️</t>
  </si>
  <si>
    <t>淡水 F</t>
  </si>
  <si>
    <t>海洋 O</t>
  </si>
  <si>
    <t>河流 F R</t>
  </si>
  <si>
    <t>湖泊 F L</t>
  </si>
  <si>
    <t>沼泽 F S</t>
  </si>
  <si>
    <t>溶洞 F C</t>
  </si>
  <si>
    <t>热带 F R Tpc</t>
  </si>
  <si>
    <t>温带 F R Tmp</t>
  </si>
  <si>
    <t>河流主干 F R Tpc MRch</t>
  </si>
  <si>
    <t>河流上游 F R Tmp UppRch</t>
  </si>
  <si>
    <t>河流中下游 F R Tmp MidDwnRch</t>
  </si>
  <si>
    <t>红树林沼泽 F S Mgv</t>
  </si>
  <si>
    <t>内陆沼泽 F S MSwp</t>
  </si>
  <si>
    <t>喀斯特地貌洞穴 F C Kst</t>
  </si>
  <si>
    <t>溶洞 F C MCv</t>
  </si>
  <si>
    <t>浅海 O S</t>
  </si>
  <si>
    <t>远海 O F</t>
  </si>
  <si>
    <t>深海 O D</t>
  </si>
  <si>
    <t>近岸 O S Cs</t>
  </si>
  <si>
    <t>渔场 O S FshGnd</t>
  </si>
  <si>
    <t>海底火山 O D SbmVcn</t>
  </si>
  <si>
    <t>冷水 O D Cld</t>
  </si>
  <si>
    <t>服务器内分布/地形🏕️</t>
  </si>
  <si>
    <t>热带礁区</t>
  </si>
  <si>
    <t>R</t>
  </si>
  <si>
    <t>地形颜色标记</t>
  </si>
  <si>
    <t>尺寸/cm📏</t>
  </si>
  <si>
    <t>河流</t>
  </si>
  <si>
    <t>北海道渔场</t>
  </si>
  <si>
    <t>远海</t>
  </si>
  <si>
    <t>river</t>
  </si>
  <si>
    <t>warm_ocean</t>
  </si>
  <si>
    <t>当前版本使用地形</t>
  </si>
  <si>
    <t>luck I (1min)</t>
  </si>
  <si>
    <t>luck I (2min)</t>
  </si>
  <si>
    <t>luck I (1min 30s)</t>
  </si>
  <si>
    <t>F R Tmp MidDwnRch</t>
  </si>
  <si>
    <t>地形分类码🗺️</t>
  </si>
  <si>
    <t>河流中下游</t>
  </si>
  <si>
    <t>近岸</t>
  </si>
  <si>
    <t>O S Cs</t>
  </si>
  <si>
    <t>F R Tmp MidDwnRch.F R Tmp UppRch</t>
  </si>
  <si>
    <t>O S FshGnd.O S Cs</t>
  </si>
  <si>
    <t>F R Tmp MidDwnRch.O S Cs</t>
  </si>
  <si>
    <t>river.stony_peaks</t>
  </si>
  <si>
    <t>ocean.warm_ocean</t>
  </si>
  <si>
    <t>river.warm_ocean</t>
  </si>
  <si>
    <t>河流中下游, 河流上游</t>
  </si>
  <si>
    <t>渔场, 近岸</t>
  </si>
  <si>
    <t>河流中下游, 近岸</t>
  </si>
  <si>
    <t>河流, 泥沼, 田地</t>
  </si>
  <si>
    <t>河流, 湖泊</t>
  </si>
  <si>
    <t>眼斑双锯鱼</t>
  </si>
  <si>
    <t>金腹双锯鱼</t>
  </si>
  <si>
    <t>Amphiprion chrysogaster</t>
  </si>
  <si>
    <t>JinFuShuangJuYu</t>
  </si>
  <si>
    <t>灰鳍棘鲷</t>
  </si>
  <si>
    <t>Acanthopagrus berda</t>
  </si>
  <si>
    <t>HuiQiJiDiao</t>
  </si>
  <si>
    <t>北方蓝鳍金枪鱼</t>
  </si>
  <si>
    <t>真的假的</t>
  </si>
  <si>
    <t>F S MSwp.F S Mgv</t>
  </si>
  <si>
    <t>背纹双锯鱼</t>
  </si>
  <si>
    <t>大堡礁双锯鱼</t>
  </si>
  <si>
    <t xml:space="preserve">Amphiprion akallopisos	</t>
  </si>
  <si>
    <t>Amphiprion akallopisos</t>
  </si>
  <si>
    <t>5~13</t>
  </si>
  <si>
    <t>DaBaoJiaoShuangJuYu</t>
  </si>
  <si>
    <t>BeiWenShuangJuYu</t>
  </si>
  <si>
    <t>阿氏双锯鱼</t>
  </si>
  <si>
    <t>巴氏双锯鱼</t>
  </si>
  <si>
    <t>Amphiprion allardi</t>
  </si>
  <si>
    <t>Amphiprion barberi</t>
  </si>
  <si>
    <t>6~13</t>
  </si>
  <si>
    <t>二带双锯鱼</t>
  </si>
  <si>
    <t xml:space="preserve">Amphiprion bicinctus	</t>
  </si>
  <si>
    <t>AShiShuangJuYu</t>
  </si>
  <si>
    <t>BaShiShuangJuYu</t>
  </si>
  <si>
    <t>ErDaiShuangJuYu</t>
  </si>
  <si>
    <t>普通海草</t>
  </si>
  <si>
    <t>海带</t>
  </si>
  <si>
    <t>HaiDai</t>
  </si>
  <si>
    <t>棘颊雀鲷</t>
  </si>
  <si>
    <t>PuTongHaiCao</t>
  </si>
  <si>
    <t>伊势龙虾</t>
  </si>
  <si>
    <t>日本龙虾</t>
  </si>
  <si>
    <t>Panulirus japonicus</t>
  </si>
  <si>
    <t>YiShiLongXia</t>
  </si>
  <si>
    <t>波纹龙虾</t>
  </si>
  <si>
    <t>Panulirus homarus</t>
  </si>
  <si>
    <t>青龙</t>
  </si>
  <si>
    <t>QingLong</t>
  </si>
  <si>
    <t>石笔海胆</t>
  </si>
  <si>
    <t>日本对虾</t>
  </si>
  <si>
    <t>日本囊对虾</t>
  </si>
  <si>
    <t>明虾</t>
  </si>
  <si>
    <t>中国明对虾</t>
  </si>
  <si>
    <t>鲣鱼</t>
  </si>
  <si>
    <t>鲣</t>
  </si>
  <si>
    <t>蓝鳍金枪鱼</t>
  </si>
  <si>
    <t>马粪海胆</t>
  </si>
  <si>
    <t>青口</t>
  </si>
  <si>
    <t>MaFenHaiDan</t>
  </si>
  <si>
    <t>ShiBiHaiDan</t>
  </si>
  <si>
    <t>RiBenDuiXia</t>
  </si>
  <si>
    <t>ZhongGuoMingDuiXia</t>
  </si>
  <si>
    <t>内陆沼泽, 红树林沼泽</t>
  </si>
  <si>
    <t>紫贻贝</t>
  </si>
  <si>
    <t>QingKou</t>
  </si>
  <si>
    <t>Mytilus galloprovincialis</t>
  </si>
  <si>
    <t>长牡蛎</t>
  </si>
  <si>
    <t>Crassostrea gigas</t>
  </si>
  <si>
    <t>普通生蚝</t>
  </si>
  <si>
    <t>PuTongShengHao</t>
  </si>
  <si>
    <t>JianYu</t>
  </si>
  <si>
    <t>LanQiJinQiangYu</t>
  </si>
  <si>
    <t>8~38</t>
  </si>
  <si>
    <t>20-110</t>
  </si>
  <si>
    <t>Thunnus maccoyii</t>
  </si>
  <si>
    <t>全地形分类表/Nov. 23, 24</t>
  </si>
  <si>
    <t>swampland. mangrove_swamp</t>
  </si>
  <si>
    <t>Hemicentrotus pulcherrimus</t>
  </si>
  <si>
    <t>Eucidaris tribuloides</t>
  </si>
  <si>
    <t>Marsupenaeus japonicus</t>
  </si>
  <si>
    <t>Fenneropenaeus chinensis</t>
  </si>
  <si>
    <t>Katsuwonus pelamis</t>
  </si>
  <si>
    <t>4~31</t>
  </si>
  <si>
    <t>4~30</t>
  </si>
  <si>
    <t>5~21</t>
  </si>
  <si>
    <t>2~21</t>
  </si>
  <si>
    <t>5~16</t>
  </si>
  <si>
    <t>2~7</t>
  </si>
  <si>
    <t>5~14</t>
  </si>
  <si>
    <t>就是普通的海带</t>
  </si>
  <si>
    <t>不太能吃的海胆</t>
  </si>
  <si>
    <t>好吃！！！</t>
  </si>
  <si>
    <t>要放蒜吗？</t>
  </si>
  <si>
    <t>木鱼花的原料</t>
  </si>
  <si>
    <t>贵贵的海胆</t>
  </si>
  <si>
    <t>F R Tmp UppRch =  plain (河流上游-平原)</t>
  </si>
  <si>
    <t>F R Tmp MidDwnRch = river (河流中下游-河流)</t>
  </si>
  <si>
    <t>O S Cs = warm_ocean (近岸-暖水海洋)</t>
  </si>
  <si>
    <t>O S FshGnd = ocean (渔场-海洋)</t>
  </si>
  <si>
    <t>O D Cld = cold_ocean (冷水-冷水海洋)</t>
  </si>
  <si>
    <t>O D SbmVcn = deep_cold_ocean (海底火山-冷水深海)</t>
  </si>
  <si>
    <t>O F = deep_ocean (远海-深海)</t>
  </si>
  <si>
    <t>F S MSwp = swampland (内陆沼泽-沼泽)</t>
  </si>
  <si>
    <t>F S Mgv = mangrove_swamp (红树林沼泽-红树林沼泽)</t>
  </si>
  <si>
    <t>F L = meadow (湖泊-草甸)</t>
  </si>
  <si>
    <t>F R Tpc MRch = savanna (河流主干-热带草原)</t>
  </si>
  <si>
    <t>F C Kst = dripstone_caves (喀斯特地貌洞穴-溶洞)</t>
  </si>
  <si>
    <t>F C MCv = lush_caves (溶洞-繁茂洞穴)</t>
  </si>
  <si>
    <t>贵贵的鱼，因为它快灭绝了</t>
  </si>
  <si>
    <t>日月虾虾</t>
  </si>
  <si>
    <t>立本有句古话：虾头</t>
  </si>
  <si>
    <t>红小丑鱼亲戚？</t>
  </si>
  <si>
    <t>O S</t>
  </si>
  <si>
    <t>O</t>
  </si>
  <si>
    <t>O S FshGnd</t>
  </si>
  <si>
    <t>大堡礁原住民</t>
  </si>
  <si>
    <t>颜色怪怪的鱼</t>
  </si>
  <si>
    <t>金腹双锯鱼亲戚？</t>
  </si>
  <si>
    <t>漂亮</t>
  </si>
  <si>
    <t>好想吃…</t>
  </si>
  <si>
    <t>渔场</t>
  </si>
  <si>
    <t>ocean</t>
  </si>
  <si>
    <t>蓝色的小丑鱼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</si>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</sst>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 Black"/>
      <family val="2"/>
    </font>
    <font>
      <sz val="11"/>
      <color theme="3" tint="0.7999816888943144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6" borderId="0" xfId="0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14" borderId="6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19" borderId="0" xfId="0" applyFill="1" applyAlignment="1">
      <alignment horizontal="left"/>
    </xf>
    <xf numFmtId="0" fontId="0" fillId="6" borderId="7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16" borderId="3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0" fontId="0" fillId="18" borderId="5" xfId="0" applyFill="1" applyBorder="1" applyAlignment="1">
      <alignment horizontal="left"/>
    </xf>
    <xf numFmtId="0" fontId="0" fillId="22" borderId="0" xfId="0" applyFill="1" applyAlignment="1">
      <alignment horizontal="left"/>
    </xf>
    <xf numFmtId="0" fontId="3" fillId="25" borderId="0" xfId="0" applyFont="1" applyFill="1" applyAlignment="1">
      <alignment horizontal="left"/>
    </xf>
    <xf numFmtId="0" fontId="3" fillId="23" borderId="0" xfId="0" applyFont="1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26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7" borderId="0" xfId="0" applyFill="1" applyAlignment="1">
      <alignment horizontal="left"/>
    </xf>
    <xf numFmtId="0" fontId="0" fillId="2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3" fillId="24" borderId="0" xfId="0" applyFont="1" applyFill="1" applyAlignment="1">
      <alignment horizontal="left"/>
    </xf>
    <xf numFmtId="0" fontId="3" fillId="20" borderId="0" xfId="0" applyFont="1" applyFill="1" applyAlignment="1">
      <alignment horizontal="left"/>
    </xf>
    <xf numFmtId="0" fontId="3" fillId="29" borderId="0" xfId="0" applyFont="1" applyFill="1" applyAlignment="1">
      <alignment horizontal="left"/>
    </xf>
    <xf numFmtId="0" fontId="0" fillId="30" borderId="0" xfId="0" applyFill="1"/>
    <xf numFmtId="0" fontId="0" fillId="31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30" borderId="0" xfId="0" applyFill="1" applyAlignment="1">
      <alignment horizontal="left"/>
    </xf>
    <xf numFmtId="49" fontId="0" fillId="30" borderId="0" xfId="0" applyNumberFormat="1" applyFill="1" applyAlignment="1">
      <alignment horizontal="left"/>
    </xf>
    <xf numFmtId="0" fontId="4" fillId="32" borderId="0" xfId="0" applyFont="1" applyFill="1" applyAlignment="1">
      <alignment horizontal="center" vertical="center"/>
    </xf>
    <xf numFmtId="0" fontId="0" fillId="18" borderId="0" xfId="0" applyFill="1"/>
    <xf numFmtId="0" fontId="0" fillId="0" borderId="0" xfId="0" applyAlignment="1">
      <alignment vertical="center" wrapText="1"/>
    </xf>
    <xf numFmtId="0" fontId="0" fillId="29" borderId="1" xfId="0" applyFill="1" applyBorder="1" applyAlignment="1">
      <alignment horizontal="center" vertical="center"/>
    </xf>
    <xf numFmtId="0" fontId="0" fillId="9" borderId="0" xfId="0" applyFill="1"/>
    <xf numFmtId="0" fontId="0" fillId="35" borderId="0" xfId="0" applyFill="1"/>
    <xf numFmtId="0" fontId="0" fillId="9" borderId="4" xfId="0" applyFill="1" applyBorder="1"/>
    <xf numFmtId="0" fontId="0" fillId="9" borderId="7" xfId="0" applyFill="1" applyBorder="1"/>
    <xf numFmtId="0" fontId="0" fillId="9" borderId="10" xfId="0" applyFill="1" applyBorder="1"/>
    <xf numFmtId="0" fontId="0" fillId="9" borderId="3" xfId="0" applyFill="1" applyBorder="1"/>
    <xf numFmtId="0" fontId="0" fillId="3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4" borderId="0" xfId="0" applyFill="1"/>
    <xf numFmtId="0" fontId="0" fillId="34" borderId="5" xfId="0" applyFill="1" applyBorder="1"/>
    <xf numFmtId="0" fontId="0" fillId="33" borderId="11" xfId="0" applyFill="1" applyBorder="1"/>
    <xf numFmtId="0" fontId="0" fillId="33" borderId="10" xfId="0" applyFill="1" applyBorder="1"/>
    <xf numFmtId="0" fontId="0" fillId="33" borderId="0" xfId="0" applyFill="1"/>
    <xf numFmtId="0" fontId="0" fillId="33" borderId="3" xfId="0" applyFill="1" applyBorder="1"/>
    <xf numFmtId="0" fontId="0" fillId="33" borderId="8" xfId="0" applyFill="1" applyBorder="1"/>
    <xf numFmtId="0" fontId="0" fillId="33" borderId="9" xfId="0" applyFill="1" applyBorder="1"/>
    <xf numFmtId="0" fontId="7" fillId="36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7" fillId="24" borderId="8" xfId="0" applyFont="1" applyFill="1" applyBorder="1"/>
    <xf numFmtId="0" fontId="7" fillId="24" borderId="10" xfId="0" applyFont="1" applyFill="1" applyBorder="1" applyAlignment="1">
      <alignment horizontal="left"/>
    </xf>
    <xf numFmtId="0" fontId="7" fillId="24" borderId="3" xfId="0" applyFont="1" applyFill="1" applyBorder="1"/>
    <xf numFmtId="0" fontId="0" fillId="33" borderId="4" xfId="0" applyFill="1" applyBorder="1"/>
    <xf numFmtId="0" fontId="0" fillId="33" borderId="7" xfId="0" applyFill="1" applyBorder="1"/>
    <xf numFmtId="0" fontId="6" fillId="15" borderId="10" xfId="0" applyFont="1" applyFill="1" applyBorder="1"/>
    <xf numFmtId="0" fontId="0" fillId="33" borderId="0" xfId="0" applyFill="1" applyAlignment="1">
      <alignment horizontal="left"/>
    </xf>
    <xf numFmtId="0" fontId="5" fillId="20" borderId="10" xfId="0" applyFont="1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0" fontId="0" fillId="33" borderId="5" xfId="0" applyFill="1" applyBorder="1" applyAlignment="1">
      <alignment horizontal="left"/>
    </xf>
    <xf numFmtId="0" fontId="0" fillId="33" borderId="5" xfId="0" applyFill="1" applyBorder="1"/>
    <xf numFmtId="0" fontId="0" fillId="11" borderId="0" xfId="0" applyFill="1" applyAlignment="1">
      <alignment horizontal="left"/>
    </xf>
    <xf numFmtId="0" fontId="7" fillId="29" borderId="0" xfId="0" applyFont="1" applyFill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37" borderId="9" xfId="0" applyFill="1" applyBorder="1" applyAlignment="1">
      <alignment horizontal="left"/>
    </xf>
    <xf numFmtId="0" fontId="0" fillId="37" borderId="7" xfId="0" applyFill="1" applyBorder="1"/>
    <xf numFmtId="0" fontId="0" fillId="37" borderId="3" xfId="0" applyFill="1" applyBorder="1"/>
    <xf numFmtId="0" fontId="0" fillId="37" borderId="0" xfId="0" applyFill="1"/>
    <xf numFmtId="0" fontId="0" fillId="36" borderId="0" xfId="0" applyFill="1"/>
    <xf numFmtId="0" fontId="0" fillId="3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7" fillId="36" borderId="0" xfId="0" applyFont="1" applyFill="1" applyAlignment="1">
      <alignment horizontal="left"/>
    </xf>
    <xf numFmtId="0" fontId="7" fillId="24" borderId="0" xfId="0" applyFont="1" applyFill="1" applyAlignment="1">
      <alignment horizontal="left"/>
    </xf>
    <xf numFmtId="0" fontId="0" fillId="16" borderId="14" xfId="0" applyFill="1" applyBorder="1" applyAlignment="1">
      <alignment horizontal="center" vertical="center"/>
    </xf>
    <xf numFmtId="0" fontId="0" fillId="38" borderId="0" xfId="0" applyFill="1"/>
    <xf numFmtId="0" fontId="7" fillId="21" borderId="1" xfId="0" applyFont="1" applyFill="1" applyBorder="1" applyAlignment="1">
      <alignment horizontal="center" vertical="center"/>
    </xf>
    <xf numFmtId="0" fontId="0" fillId="21" borderId="0" xfId="0" applyFill="1" applyAlignment="1">
      <alignment horizontal="left"/>
    </xf>
    <xf numFmtId="0" fontId="7" fillId="39" borderId="0" xfId="0" applyFont="1" applyFill="1"/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</cellXfs>
  <cellStyles count="1">
    <cellStyle name="Normal" xfId="0" builtinId="0"/>
  </cellStyles>
  <dxfs count="2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CCFF"/>
      <color rgb="FFFF99CC"/>
      <color rgb="FF9999FF"/>
      <color rgb="FFFF7C8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BA91104-EDFD-4436-AE6D-56D6DE04C3FA}" name="Table15" displayName="Table15" ref="A1:U69" totalsRowShown="0" headerRowDxfId="21" headerRowBorderDxfId="20" tableBorderDxfId="19">
  <autoFilter ref="A1:U69" xr:uid="{3BA91104-EDFD-4436-AE6D-56D6DE04C3FA}"/>
  <sortState xmlns:xlrd2="http://schemas.microsoft.com/office/spreadsheetml/2017/richdata2" ref="A2:R42">
    <sortCondition ref="E1:E42"/>
  </sortState>
  <tableColumns count="21">
    <tableColumn id="3" xr3:uid="{3B4F3775-A313-4F20-9501-CF3019899359}" name="中文常见名字"/>
    <tableColumn id="2" xr3:uid="{1E67B578-C7A1-4947-9F18-58875B9DEFA7}" name="中文学名"/>
    <tableColumn id="5" xr3:uid="{3EE5F09B-538A-4673-B34F-6A929902848F}" name="拉丁物种名" dataDxfId="18"/>
    <tableColumn id="4" xr3:uid="{1E6F1B0C-3E66-4D4F-A0DB-619314D9D3FD}" name="json名" dataDxfId="17"/>
    <tableColumn id="15" xr3:uid="{4AC47E63-F6BD-4640-8E73-F3BF41ADE9D8}" name="ID/Custom Model Data" dataDxfId="16"/>
    <tableColumn id="9" xr3:uid="{52B962A8-BFCD-4B4C-902D-19DCAEDF339C}" name="尺寸/cm📏" dataDxfId="15"/>
    <tableColumn id="10" xr3:uid="{26BD7015-B65D-438B-B49A-9FBAE38B3BD8}" name="尺寸单位价格/🌸" dataDxfId="14"/>
    <tableColumn id="8" xr3:uid="{CCF8343B-E40C-4F93-9397-75FE85426728}" name="个体单位价格/🌸" dataDxfId="13"/>
    <tableColumn id="11" xr3:uid="{656C7216-0599-4DF3-B841-5F71CE8F0B1E}" name="概率/加权平均值🌸" dataDxfId="12">
      <calculatedColumnFormula>IF(K2=1, 5, 2^(8-K2))</calculatedColumnFormula>
    </tableColumn>
    <tableColumn id="7" xr3:uid="{599E946C-5A73-4592-90F7-A0ACB033B84A}" name="真的假的" dataDxfId="11"/>
    <tableColumn id="12" xr3:uid="{7B5F67B7-820E-4B9F-A2C6-B0C738BA913F}" name="稀有度⭐" dataDxfId="10"/>
    <tableColumn id="6" xr3:uid="{4EFF39C6-3733-4861-989F-F9C24C9AB8E9}" name="习性🌙" dataDxfId="9"/>
    <tableColumn id="16" xr3:uid="{129B91F1-021E-4C61-A5C7-A1D980A2D35E}" name="习性🌧️" dataDxfId="8"/>
    <tableColumn id="17" xr3:uid="{C1019489-0C9C-4BFF-9467-B1CBBC307D41}" name="给予效果💊" dataDxfId="7"/>
    <tableColumn id="1" xr3:uid="{AAC6F5CE-05ED-4AB7-B3C5-1FACD91811CB}" name="简介📑" dataDxfId="6"/>
    <tableColumn id="14" xr3:uid="{79E4E6BD-C44D-440B-9C81-9B487448E052}" name="材质type" dataDxfId="5"/>
    <tableColumn id="13" xr3:uid="{92C50B37-95C9-4CA0-808F-EC79E16D8C28}" name="原版对应icon" dataDxfId="4"/>
    <tableColumn id="22" xr3:uid="{FC84183A-C294-4B09-AE89-012F91571A0D}" name="生物现实分布🍂" dataDxfId="3"/>
    <tableColumn id="18" xr3:uid="{62E90B2D-2209-4ADD-8267-52FE0FE5D725}" name="地形分类🏞️" dataDxfId="2"/>
    <tableColumn id="19" xr3:uid="{91B97BB8-0D86-431D-9B61-5B05363BFE99}" name="地形分类码🗺️" dataDxfId="1"/>
    <tableColumn id="20" xr3:uid="{1EF39323-462F-43FC-938B-1B6A306DEE9F}" name="服务器内分布/地形🏕️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A22" workbookViewId="0">
      <pane xSplit="1" topLeftCell="F1" activePane="topRight" state="frozen"/>
      <selection activeCell="A2" sqref="A2"/>
      <selection pane="topRight" activeCell="F45" sqref="F45"/>
    </sheetView>
  </sheetViews>
  <sheetFormatPr defaultRowHeight="14.5"/>
  <cols>
    <col min="1" max="1" width="16.7265625" customWidth="1"/>
    <col min="2" max="2" width="18" customWidth="1"/>
    <col min="3" max="3" width="37.453125" customWidth="1"/>
    <col min="4" max="4" width="34" style="1" customWidth="1"/>
    <col min="5" max="5" width="20.453125" style="1" customWidth="1"/>
    <col min="6" max="6" width="13.453125" customWidth="1"/>
    <col min="7" max="7" width="17.26953125" customWidth="1"/>
    <col min="8" max="8" width="17.08984375" customWidth="1"/>
    <col min="9" max="9" width="19.453125" customWidth="1"/>
    <col min="10" max="10" width="10.6328125" customWidth="1"/>
    <col min="11" max="11" width="10.7265625" customWidth="1"/>
    <col min="12" max="12" width="8.6328125" customWidth="1"/>
    <col min="13" max="13" width="8.6328125" style="1" customWidth="1"/>
    <col min="14" max="14" width="24" style="1" customWidth="1"/>
    <col min="15" max="15" width="34.26953125" customWidth="1"/>
    <col min="16" max="16" width="11.453125" customWidth="1"/>
    <col min="17" max="17" width="17.90625" style="2" customWidth="1"/>
    <col min="18" max="18" width="34.36328125" customWidth="1"/>
    <col min="19" max="19" width="55" customWidth="1"/>
    <col min="20" max="20" width="46.08984375" customWidth="1"/>
    <col min="21" max="21" width="30.6328125" style="1" customWidth="1"/>
    <col min="22" max="22" width="37.453125" customWidth="1"/>
    <col min="23" max="23" width="14.453125" customWidth="1"/>
    <col min="24" max="24" width="59" customWidth="1"/>
    <col min="25" max="25" width="18.90625" customWidth="1"/>
    <col min="26" max="26" width="5.6328125" customWidth="1"/>
    <col min="27" max="27" width="14.453125" customWidth="1"/>
    <col min="28" max="28" width="14.08984375" customWidth="1"/>
    <col min="29" max="29" width="24.36328125" customWidth="1"/>
    <col min="30" max="30" width="30.453125" customWidth="1"/>
    <col min="31" max="31" width="30.08984375" customWidth="1"/>
    <col min="32" max="32" width="20.7265625" customWidth="1"/>
    <col min="33" max="33" width="5.6328125" customWidth="1"/>
    <col min="34" max="34" width="17.36328125" customWidth="1"/>
    <col min="35" max="35" width="19.26953125" customWidth="1"/>
    <col min="36" max="36" width="11.453125" customWidth="1"/>
  </cols>
  <sheetData>
    <row r="1" spans="1:31" s="2" customFormat="1" ht="30" customHeight="1" thickBot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11" t="s">
        <v>289</v>
      </c>
      <c r="G1" s="10" t="s">
        <v>5</v>
      </c>
      <c r="H1" s="10" t="s">
        <v>6</v>
      </c>
      <c r="I1" s="10" t="s">
        <v>7</v>
      </c>
      <c r="J1" s="107" t="s">
        <v>323</v>
      </c>
      <c r="K1" s="12" t="s">
        <v>8</v>
      </c>
      <c r="L1" s="13" t="s">
        <v>9</v>
      </c>
      <c r="M1" s="60" t="s">
        <v>262</v>
      </c>
      <c r="N1" s="15" t="s">
        <v>10</v>
      </c>
      <c r="O1" s="16" t="s">
        <v>258</v>
      </c>
      <c r="P1" s="17" t="s">
        <v>11</v>
      </c>
      <c r="Q1" s="17" t="s">
        <v>12</v>
      </c>
      <c r="R1" s="11" t="s">
        <v>227</v>
      </c>
      <c r="S1" s="53" t="s">
        <v>226</v>
      </c>
      <c r="T1" s="11" t="s">
        <v>300</v>
      </c>
      <c r="U1" s="14" t="s">
        <v>285</v>
      </c>
      <c r="V1" s="25" t="s">
        <v>14</v>
      </c>
      <c r="W1" s="54" t="s">
        <v>261</v>
      </c>
      <c r="X1" s="93" t="s">
        <v>259</v>
      </c>
      <c r="Y1" s="54" t="s">
        <v>288</v>
      </c>
      <c r="Z1" s="105" t="s">
        <v>13</v>
      </c>
      <c r="AA1" s="110" t="s">
        <v>382</v>
      </c>
      <c r="AB1" s="111"/>
      <c r="AC1" s="111"/>
      <c r="AD1" s="111"/>
      <c r="AE1" s="112"/>
    </row>
    <row r="2" spans="1:31">
      <c r="A2" s="61" t="s">
        <v>18</v>
      </c>
      <c r="B2" t="s">
        <v>19</v>
      </c>
      <c r="C2" s="1" t="s">
        <v>20</v>
      </c>
      <c r="D2" t="s">
        <v>21</v>
      </c>
      <c r="E2" s="1">
        <v>1001</v>
      </c>
      <c r="F2" s="3" t="s">
        <v>22</v>
      </c>
      <c r="G2" s="1"/>
      <c r="H2" s="1">
        <v>30</v>
      </c>
      <c r="I2" s="1">
        <f t="shared" ref="I2:I33" si="0">IF(K2=1, 5, 2^(8-K2))</f>
        <v>64</v>
      </c>
      <c r="J2" s="1">
        <v>0</v>
      </c>
      <c r="K2" s="4">
        <v>2</v>
      </c>
      <c r="L2" s="1"/>
      <c r="O2" s="1" t="s">
        <v>229</v>
      </c>
      <c r="P2" s="1" t="s">
        <v>23</v>
      </c>
      <c r="Q2" s="1" t="s">
        <v>38</v>
      </c>
      <c r="R2" s="1" t="s">
        <v>290</v>
      </c>
      <c r="S2" s="1" t="s">
        <v>310</v>
      </c>
      <c r="T2" s="1" t="s">
        <v>304</v>
      </c>
      <c r="U2" s="1" t="s">
        <v>307</v>
      </c>
      <c r="V2" s="42" t="s">
        <v>24</v>
      </c>
      <c r="X2" t="s">
        <v>402</v>
      </c>
      <c r="Y2" s="61" t="s">
        <v>265</v>
      </c>
      <c r="AA2" s="77"/>
      <c r="AB2" s="83"/>
      <c r="AC2" s="83"/>
      <c r="AD2" s="83"/>
      <c r="AE2" s="84"/>
    </row>
    <row r="3" spans="1:31">
      <c r="A3" s="61" t="s">
        <v>26</v>
      </c>
      <c r="B3" t="s">
        <v>27</v>
      </c>
      <c r="C3" s="1" t="s">
        <v>28</v>
      </c>
      <c r="D3" t="s">
        <v>29</v>
      </c>
      <c r="E3" s="1">
        <v>1002</v>
      </c>
      <c r="F3" s="3" t="s">
        <v>30</v>
      </c>
      <c r="G3" s="1"/>
      <c r="H3" s="1">
        <v>30</v>
      </c>
      <c r="I3" s="1">
        <f t="shared" si="0"/>
        <v>64</v>
      </c>
      <c r="J3" s="1">
        <v>0</v>
      </c>
      <c r="K3" s="4">
        <v>2</v>
      </c>
      <c r="L3" s="1"/>
      <c r="O3" s="1" t="s">
        <v>31</v>
      </c>
      <c r="P3" s="1" t="s">
        <v>23</v>
      </c>
      <c r="Q3" s="1" t="s">
        <v>38</v>
      </c>
      <c r="R3" s="1" t="s">
        <v>290</v>
      </c>
      <c r="S3" s="1" t="s">
        <v>310</v>
      </c>
      <c r="T3" s="1" t="s">
        <v>304</v>
      </c>
      <c r="U3" s="1" t="s">
        <v>307</v>
      </c>
      <c r="V3" s="49" t="s">
        <v>224</v>
      </c>
      <c r="W3" s="58"/>
      <c r="X3" t="s">
        <v>403</v>
      </c>
      <c r="Y3" s="99" t="s">
        <v>266</v>
      </c>
      <c r="AA3" s="73"/>
      <c r="AB3" s="74"/>
      <c r="AC3" s="74"/>
      <c r="AD3" s="74"/>
      <c r="AE3" s="75"/>
    </row>
    <row r="4" spans="1:31">
      <c r="A4" s="61" t="s">
        <v>34</v>
      </c>
      <c r="B4" t="s">
        <v>34</v>
      </c>
      <c r="C4" s="1" t="s">
        <v>35</v>
      </c>
      <c r="D4" t="s">
        <v>36</v>
      </c>
      <c r="E4" s="1">
        <v>1003</v>
      </c>
      <c r="F4" s="3" t="s">
        <v>30</v>
      </c>
      <c r="G4" s="1"/>
      <c r="H4" s="1">
        <v>42</v>
      </c>
      <c r="I4" s="1">
        <f t="shared" si="0"/>
        <v>16</v>
      </c>
      <c r="J4" s="1">
        <v>0</v>
      </c>
      <c r="K4" s="21">
        <v>4</v>
      </c>
      <c r="L4" s="1"/>
      <c r="N4" s="1" t="s">
        <v>296</v>
      </c>
      <c r="O4" s="1" t="s">
        <v>37</v>
      </c>
      <c r="P4" s="1" t="s">
        <v>23</v>
      </c>
      <c r="Q4" s="1" t="s">
        <v>38</v>
      </c>
      <c r="R4" s="1" t="s">
        <v>290</v>
      </c>
      <c r="S4" s="1" t="s">
        <v>301</v>
      </c>
      <c r="T4" s="1" t="s">
        <v>299</v>
      </c>
      <c r="U4" s="1" t="s">
        <v>293</v>
      </c>
      <c r="V4" s="42" t="s">
        <v>223</v>
      </c>
      <c r="X4" t="s">
        <v>404</v>
      </c>
      <c r="Y4" s="100" t="s">
        <v>267</v>
      </c>
      <c r="AA4" s="73"/>
      <c r="AB4" s="74"/>
      <c r="AC4" s="74"/>
      <c r="AD4" s="74"/>
      <c r="AE4" s="75"/>
    </row>
    <row r="5" spans="1:31" ht="15" thickBot="1">
      <c r="A5" s="61" t="s">
        <v>41</v>
      </c>
      <c r="B5" s="52"/>
      <c r="C5" s="1" t="s">
        <v>35</v>
      </c>
      <c r="D5" t="s">
        <v>255</v>
      </c>
      <c r="E5" s="1">
        <v>1004</v>
      </c>
      <c r="F5" s="3" t="s">
        <v>30</v>
      </c>
      <c r="G5" s="1"/>
      <c r="H5" s="1">
        <v>56</v>
      </c>
      <c r="I5" s="1">
        <f t="shared" si="0"/>
        <v>4</v>
      </c>
      <c r="J5" s="1">
        <v>0</v>
      </c>
      <c r="K5" s="22">
        <v>6</v>
      </c>
      <c r="L5" s="1"/>
      <c r="N5" s="1" t="s">
        <v>296</v>
      </c>
      <c r="O5" s="1" t="s">
        <v>230</v>
      </c>
      <c r="P5" s="1" t="s">
        <v>23</v>
      </c>
      <c r="Q5" s="1" t="s">
        <v>38</v>
      </c>
      <c r="R5" s="1" t="s">
        <v>290</v>
      </c>
      <c r="S5" s="1" t="s">
        <v>301</v>
      </c>
      <c r="T5" s="1" t="s">
        <v>299</v>
      </c>
      <c r="U5" s="1" t="s">
        <v>293</v>
      </c>
      <c r="V5" s="42" t="s">
        <v>53</v>
      </c>
      <c r="W5" s="58"/>
      <c r="X5" t="s">
        <v>405</v>
      </c>
      <c r="Y5" s="101" t="s">
        <v>268</v>
      </c>
      <c r="AA5" s="73"/>
      <c r="AB5" s="74"/>
      <c r="AC5" s="74"/>
      <c r="AD5" s="74"/>
      <c r="AE5" s="75"/>
    </row>
    <row r="6" spans="1:31">
      <c r="A6" s="61" t="s">
        <v>44</v>
      </c>
      <c r="B6" s="52"/>
      <c r="C6" s="1" t="s">
        <v>35</v>
      </c>
      <c r="D6" t="s">
        <v>256</v>
      </c>
      <c r="E6" s="1">
        <v>1005</v>
      </c>
      <c r="F6" s="3" t="s">
        <v>30</v>
      </c>
      <c r="G6" s="1"/>
      <c r="H6" s="1">
        <v>56</v>
      </c>
      <c r="I6" s="1">
        <f t="shared" si="0"/>
        <v>4</v>
      </c>
      <c r="J6" s="1">
        <v>0</v>
      </c>
      <c r="K6" s="22">
        <v>6</v>
      </c>
      <c r="L6" s="1"/>
      <c r="N6" s="1" t="s">
        <v>296</v>
      </c>
      <c r="O6" s="1" t="s">
        <v>231</v>
      </c>
      <c r="P6" s="1" t="s">
        <v>23</v>
      </c>
      <c r="Q6" s="1" t="s">
        <v>38</v>
      </c>
      <c r="R6" s="1" t="s">
        <v>290</v>
      </c>
      <c r="S6" s="1" t="s">
        <v>301</v>
      </c>
      <c r="T6" s="1" t="s">
        <v>299</v>
      </c>
      <c r="U6" s="1" t="s">
        <v>293</v>
      </c>
      <c r="V6" s="51" t="s">
        <v>61</v>
      </c>
      <c r="X6" t="s">
        <v>406</v>
      </c>
      <c r="Y6" s="102" t="s">
        <v>278</v>
      </c>
      <c r="AA6" s="73"/>
      <c r="AB6" s="77"/>
      <c r="AC6" s="63" t="s">
        <v>269</v>
      </c>
      <c r="AD6" s="64" t="s">
        <v>271</v>
      </c>
      <c r="AE6" s="75"/>
    </row>
    <row r="7" spans="1:31">
      <c r="A7" s="61" t="s">
        <v>46</v>
      </c>
      <c r="B7" s="52"/>
      <c r="C7" s="1" t="s">
        <v>35</v>
      </c>
      <c r="D7" t="s">
        <v>257</v>
      </c>
      <c r="E7" s="1">
        <v>1006</v>
      </c>
      <c r="F7" s="3" t="s">
        <v>30</v>
      </c>
      <c r="G7" s="1"/>
      <c r="H7" s="1">
        <v>56</v>
      </c>
      <c r="I7" s="1">
        <f t="shared" si="0"/>
        <v>4</v>
      </c>
      <c r="J7" s="1">
        <v>0</v>
      </c>
      <c r="K7" s="22">
        <v>6</v>
      </c>
      <c r="L7" s="1"/>
      <c r="N7" s="1" t="s">
        <v>296</v>
      </c>
      <c r="O7" s="1" t="s">
        <v>232</v>
      </c>
      <c r="P7" s="1" t="s">
        <v>23</v>
      </c>
      <c r="Q7" s="1" t="s">
        <v>38</v>
      </c>
      <c r="R7" s="1" t="s">
        <v>290</v>
      </c>
      <c r="S7" s="1" t="s">
        <v>301</v>
      </c>
      <c r="T7" s="1" t="s">
        <v>299</v>
      </c>
      <c r="U7" s="1" t="s">
        <v>293</v>
      </c>
      <c r="V7" s="51" t="s">
        <v>66</v>
      </c>
      <c r="X7" t="s">
        <v>407</v>
      </c>
      <c r="Y7" s="103" t="s">
        <v>279</v>
      </c>
      <c r="AA7" s="73"/>
      <c r="AB7" s="65" t="s">
        <v>265</v>
      </c>
      <c r="AC7" s="74"/>
      <c r="AD7" s="75"/>
      <c r="AE7" s="75"/>
    </row>
    <row r="8" spans="1:31">
      <c r="A8" s="61" t="s">
        <v>48</v>
      </c>
      <c r="B8" t="s">
        <v>48</v>
      </c>
      <c r="C8" s="1" t="s">
        <v>49</v>
      </c>
      <c r="D8" t="s">
        <v>50</v>
      </c>
      <c r="E8" s="1">
        <v>1007</v>
      </c>
      <c r="F8" s="1" t="s">
        <v>51</v>
      </c>
      <c r="G8" s="1"/>
      <c r="H8" s="1">
        <v>40</v>
      </c>
      <c r="I8" s="1">
        <f t="shared" si="0"/>
        <v>16</v>
      </c>
      <c r="J8" s="1">
        <v>0</v>
      </c>
      <c r="K8" s="21">
        <v>4</v>
      </c>
      <c r="L8" s="1"/>
      <c r="O8" s="1" t="s">
        <v>52</v>
      </c>
      <c r="P8" s="1" t="s">
        <v>23</v>
      </c>
      <c r="Q8" s="1" t="s">
        <v>38</v>
      </c>
      <c r="R8" s="1" t="s">
        <v>290</v>
      </c>
      <c r="S8" s="1" t="s">
        <v>301</v>
      </c>
      <c r="T8" s="1" t="s">
        <v>299</v>
      </c>
      <c r="U8" s="1" t="s">
        <v>293</v>
      </c>
      <c r="V8" s="42" t="s">
        <v>69</v>
      </c>
      <c r="X8" t="s">
        <v>408</v>
      </c>
      <c r="Y8" s="104" t="s">
        <v>280</v>
      </c>
      <c r="AA8" s="73"/>
      <c r="AB8" s="73"/>
      <c r="AC8" s="61" t="s">
        <v>270</v>
      </c>
      <c r="AD8" s="66" t="s">
        <v>272</v>
      </c>
      <c r="AE8" s="74"/>
    </row>
    <row r="9" spans="1:31">
      <c r="A9" s="61" t="s">
        <v>55</v>
      </c>
      <c r="B9" s="52"/>
      <c r="C9" s="1" t="s">
        <v>20</v>
      </c>
      <c r="D9" t="s">
        <v>56</v>
      </c>
      <c r="E9" s="1">
        <v>1008</v>
      </c>
      <c r="F9" s="1" t="s">
        <v>51</v>
      </c>
      <c r="G9" s="1"/>
      <c r="H9" s="1">
        <v>68</v>
      </c>
      <c r="I9" s="1">
        <f t="shared" si="0"/>
        <v>8</v>
      </c>
      <c r="J9" s="1">
        <v>0</v>
      </c>
      <c r="K9" s="20">
        <v>5</v>
      </c>
      <c r="L9" s="1"/>
      <c r="O9" s="1" t="s">
        <v>233</v>
      </c>
      <c r="P9" s="1" t="s">
        <v>23</v>
      </c>
      <c r="Q9" s="1" t="s">
        <v>38</v>
      </c>
      <c r="R9" s="1" t="s">
        <v>290</v>
      </c>
      <c r="S9" s="1" t="s">
        <v>301</v>
      </c>
      <c r="T9" s="1" t="s">
        <v>299</v>
      </c>
      <c r="U9" s="1" t="s">
        <v>293</v>
      </c>
      <c r="V9" s="42" t="s">
        <v>57</v>
      </c>
      <c r="X9" t="s">
        <v>409</v>
      </c>
      <c r="AA9" s="73"/>
      <c r="AB9" s="73"/>
      <c r="AC9" s="74"/>
      <c r="AD9" s="66" t="s">
        <v>273</v>
      </c>
      <c r="AE9" s="74"/>
    </row>
    <row r="10" spans="1:31" ht="15" customHeight="1">
      <c r="A10" s="61" t="s">
        <v>59</v>
      </c>
      <c r="B10" s="52"/>
      <c r="C10" s="1" t="s">
        <v>20</v>
      </c>
      <c r="D10" s="1" t="s">
        <v>60</v>
      </c>
      <c r="E10" s="1">
        <v>1009</v>
      </c>
      <c r="F10" s="1" t="s">
        <v>51</v>
      </c>
      <c r="G10" s="1"/>
      <c r="H10" s="1">
        <v>68</v>
      </c>
      <c r="I10" s="1">
        <f t="shared" si="0"/>
        <v>8</v>
      </c>
      <c r="J10" s="1">
        <v>0</v>
      </c>
      <c r="K10" s="20">
        <v>5</v>
      </c>
      <c r="L10" s="1"/>
      <c r="O10" s="1" t="s">
        <v>237</v>
      </c>
      <c r="P10" s="1" t="s">
        <v>23</v>
      </c>
      <c r="Q10" s="1" t="s">
        <v>38</v>
      </c>
      <c r="R10" s="1" t="s">
        <v>290</v>
      </c>
      <c r="S10" s="1" t="s">
        <v>301</v>
      </c>
      <c r="T10" s="1" t="s">
        <v>299</v>
      </c>
      <c r="U10" s="1" t="s">
        <v>293</v>
      </c>
      <c r="V10" s="42" t="s">
        <v>74</v>
      </c>
      <c r="X10" t="s">
        <v>410</v>
      </c>
      <c r="AA10" s="73"/>
      <c r="AB10" s="67" t="s">
        <v>266</v>
      </c>
      <c r="AC10" s="74"/>
      <c r="AD10" s="75"/>
      <c r="AE10" s="75"/>
    </row>
    <row r="11" spans="1:31">
      <c r="A11" s="61" t="s">
        <v>63</v>
      </c>
      <c r="B11" s="52"/>
      <c r="C11" s="1" t="s">
        <v>20</v>
      </c>
      <c r="D11" s="1" t="s">
        <v>64</v>
      </c>
      <c r="E11" s="1">
        <v>1010</v>
      </c>
      <c r="F11" s="1" t="s">
        <v>51</v>
      </c>
      <c r="G11" s="1"/>
      <c r="H11" s="1">
        <v>72</v>
      </c>
      <c r="I11" s="1">
        <f t="shared" si="0"/>
        <v>4</v>
      </c>
      <c r="J11" s="1">
        <v>0</v>
      </c>
      <c r="K11" s="22">
        <v>6</v>
      </c>
      <c r="L11" s="1"/>
      <c r="N11" s="1" t="s">
        <v>65</v>
      </c>
      <c r="O11" s="1" t="s">
        <v>235</v>
      </c>
      <c r="P11" s="1" t="s">
        <v>23</v>
      </c>
      <c r="Q11" s="1" t="s">
        <v>38</v>
      </c>
      <c r="R11" s="1" t="s">
        <v>290</v>
      </c>
      <c r="S11" s="1" t="s">
        <v>301</v>
      </c>
      <c r="T11" s="1" t="s">
        <v>299</v>
      </c>
      <c r="U11" s="1" t="s">
        <v>293</v>
      </c>
      <c r="V11" s="49" t="s">
        <v>225</v>
      </c>
      <c r="W11" s="58"/>
      <c r="X11" t="s">
        <v>411</v>
      </c>
      <c r="Z11" s="1"/>
      <c r="AA11" s="85" t="s">
        <v>263</v>
      </c>
      <c r="AB11" s="73"/>
      <c r="AC11" s="74"/>
      <c r="AD11" s="75"/>
      <c r="AE11" s="75"/>
    </row>
    <row r="12" spans="1:31">
      <c r="A12" s="61" t="s">
        <v>67</v>
      </c>
      <c r="B12" s="52"/>
      <c r="C12" s="1" t="s">
        <v>20</v>
      </c>
      <c r="D12" s="1" t="s">
        <v>68</v>
      </c>
      <c r="E12" s="1">
        <v>1011</v>
      </c>
      <c r="F12" s="1" t="s">
        <v>51</v>
      </c>
      <c r="G12" s="1"/>
      <c r="H12" s="1">
        <v>44</v>
      </c>
      <c r="I12" s="1">
        <f t="shared" si="0"/>
        <v>16</v>
      </c>
      <c r="J12" s="1">
        <v>0</v>
      </c>
      <c r="K12" s="21">
        <v>4</v>
      </c>
      <c r="L12" s="1"/>
      <c r="O12" s="1" t="s">
        <v>234</v>
      </c>
      <c r="P12" s="1" t="s">
        <v>23</v>
      </c>
      <c r="Q12" s="1" t="s">
        <v>38</v>
      </c>
      <c r="R12" s="1" t="s">
        <v>290</v>
      </c>
      <c r="S12" s="1" t="s">
        <v>301</v>
      </c>
      <c r="T12" s="1" t="s">
        <v>299</v>
      </c>
      <c r="U12" s="1" t="s">
        <v>293</v>
      </c>
      <c r="V12" s="49" t="s">
        <v>129</v>
      </c>
      <c r="W12" s="58"/>
      <c r="X12" t="s">
        <v>412</v>
      </c>
      <c r="Z12" s="1"/>
      <c r="AA12" s="73"/>
      <c r="AB12" s="68" t="s">
        <v>267</v>
      </c>
      <c r="AC12" s="62" t="s">
        <v>275</v>
      </c>
      <c r="AD12" s="75"/>
      <c r="AE12" s="75"/>
    </row>
    <row r="13" spans="1:31">
      <c r="A13" s="97" t="s">
        <v>70</v>
      </c>
      <c r="B13" t="s">
        <v>315</v>
      </c>
      <c r="C13" s="1" t="s">
        <v>71</v>
      </c>
      <c r="D13" s="1" t="s">
        <v>72</v>
      </c>
      <c r="E13" s="1">
        <v>1012</v>
      </c>
      <c r="F13" s="1" t="s">
        <v>73</v>
      </c>
      <c r="G13" s="1"/>
      <c r="H13" s="1">
        <v>66</v>
      </c>
      <c r="I13" s="1">
        <f t="shared" si="0"/>
        <v>8</v>
      </c>
      <c r="J13" s="1">
        <v>1</v>
      </c>
      <c r="K13" s="20">
        <v>5</v>
      </c>
      <c r="L13" s="1"/>
      <c r="O13" s="1" t="s">
        <v>240</v>
      </c>
      <c r="P13" s="1" t="s">
        <v>23</v>
      </c>
      <c r="Q13" s="1" t="s">
        <v>38</v>
      </c>
      <c r="R13" s="1" t="s">
        <v>286</v>
      </c>
      <c r="S13" s="1" t="s">
        <v>302</v>
      </c>
      <c r="T13" s="1" t="s">
        <v>303</v>
      </c>
      <c r="U13" s="1" t="s">
        <v>294</v>
      </c>
      <c r="V13" s="48" t="s">
        <v>102</v>
      </c>
      <c r="W13" s="58"/>
      <c r="X13" t="s">
        <v>413</v>
      </c>
      <c r="Z13" s="1"/>
      <c r="AA13" s="79"/>
      <c r="AB13" s="73"/>
      <c r="AC13" s="62" t="s">
        <v>274</v>
      </c>
      <c r="AD13" s="75"/>
      <c r="AE13" s="75"/>
    </row>
    <row r="14" spans="1:31">
      <c r="A14" s="97" t="s">
        <v>75</v>
      </c>
      <c r="B14" t="s">
        <v>76</v>
      </c>
      <c r="C14" s="1" t="s">
        <v>77</v>
      </c>
      <c r="D14" s="1" t="s">
        <v>78</v>
      </c>
      <c r="E14" s="1">
        <v>1013</v>
      </c>
      <c r="F14" s="1" t="s">
        <v>73</v>
      </c>
      <c r="G14" s="1"/>
      <c r="H14" s="1">
        <v>56</v>
      </c>
      <c r="I14" s="1">
        <f t="shared" si="0"/>
        <v>16</v>
      </c>
      <c r="J14" s="1">
        <v>1</v>
      </c>
      <c r="K14" s="21">
        <v>4</v>
      </c>
      <c r="L14" s="1"/>
      <c r="O14" s="1" t="s">
        <v>238</v>
      </c>
      <c r="P14" s="1" t="s">
        <v>23</v>
      </c>
      <c r="Q14" s="1" t="s">
        <v>38</v>
      </c>
      <c r="R14" s="1" t="s">
        <v>286</v>
      </c>
      <c r="S14" s="1" t="s">
        <v>302</v>
      </c>
      <c r="T14" s="1" t="s">
        <v>303</v>
      </c>
      <c r="U14" s="1" t="s">
        <v>294</v>
      </c>
      <c r="V14" s="48" t="s">
        <v>206</v>
      </c>
      <c r="W14" s="58"/>
      <c r="X14" t="s">
        <v>414</v>
      </c>
      <c r="Z14" s="1"/>
      <c r="AA14" s="79"/>
      <c r="AB14" s="73"/>
      <c r="AC14" s="74"/>
      <c r="AD14" s="75"/>
      <c r="AE14" s="75"/>
    </row>
    <row r="15" spans="1:31">
      <c r="A15" s="97" t="s">
        <v>80</v>
      </c>
      <c r="B15" t="s">
        <v>345</v>
      </c>
      <c r="C15" s="1" t="s">
        <v>81</v>
      </c>
      <c r="D15" t="s">
        <v>82</v>
      </c>
      <c r="E15" s="1">
        <v>1014</v>
      </c>
      <c r="F15" s="1" t="s">
        <v>73</v>
      </c>
      <c r="G15" s="1"/>
      <c r="H15" s="1">
        <v>66</v>
      </c>
      <c r="I15" s="1">
        <f t="shared" si="0"/>
        <v>8</v>
      </c>
      <c r="J15" s="1">
        <v>1</v>
      </c>
      <c r="K15" s="20">
        <v>5</v>
      </c>
      <c r="L15" s="1"/>
      <c r="O15" s="1" t="s">
        <v>241</v>
      </c>
      <c r="P15" s="1" t="s">
        <v>23</v>
      </c>
      <c r="Q15" s="1" t="s">
        <v>38</v>
      </c>
      <c r="R15" s="1" t="s">
        <v>286</v>
      </c>
      <c r="S15" s="1" t="s">
        <v>302</v>
      </c>
      <c r="T15" s="1" t="s">
        <v>303</v>
      </c>
      <c r="U15" s="1" t="s">
        <v>294</v>
      </c>
      <c r="V15" s="47" t="s">
        <v>134</v>
      </c>
      <c r="W15" s="58"/>
      <c r="Z15" s="1"/>
      <c r="AA15" s="79"/>
      <c r="AB15" s="69" t="s">
        <v>268</v>
      </c>
      <c r="AC15" s="70" t="s">
        <v>276</v>
      </c>
      <c r="AD15" s="75"/>
      <c r="AE15" s="75"/>
    </row>
    <row r="16" spans="1:31" ht="15" thickBot="1">
      <c r="A16" s="97" t="s">
        <v>84</v>
      </c>
      <c r="B16" t="s">
        <v>84</v>
      </c>
      <c r="C16" s="1" t="s">
        <v>85</v>
      </c>
      <c r="D16" t="s">
        <v>86</v>
      </c>
      <c r="E16" s="1">
        <v>1015</v>
      </c>
      <c r="F16" s="3" t="s">
        <v>87</v>
      </c>
      <c r="G16" s="1"/>
      <c r="H16" s="1">
        <v>80</v>
      </c>
      <c r="I16" s="1">
        <f t="shared" si="0"/>
        <v>2</v>
      </c>
      <c r="J16" s="1">
        <v>1</v>
      </c>
      <c r="K16" s="19">
        <v>7</v>
      </c>
      <c r="L16" s="1"/>
      <c r="N16" s="1" t="s">
        <v>88</v>
      </c>
      <c r="O16" s="1" t="s">
        <v>89</v>
      </c>
      <c r="P16" s="1" t="s">
        <v>23</v>
      </c>
      <c r="Q16" s="1" t="s">
        <v>38</v>
      </c>
      <c r="R16" s="1" t="s">
        <v>291</v>
      </c>
      <c r="S16" s="1" t="s">
        <v>311</v>
      </c>
      <c r="T16" s="1" t="s">
        <v>305</v>
      </c>
      <c r="U16" s="1" t="s">
        <v>308</v>
      </c>
      <c r="V16" s="45" t="s">
        <v>213</v>
      </c>
      <c r="Z16" s="1"/>
      <c r="AA16" s="79"/>
      <c r="AB16" s="72"/>
      <c r="AC16" s="71" t="s">
        <v>277</v>
      </c>
      <c r="AD16" s="76"/>
      <c r="AE16" s="75"/>
    </row>
    <row r="17" spans="1:31">
      <c r="A17" s="97" t="s">
        <v>91</v>
      </c>
      <c r="B17" t="s">
        <v>92</v>
      </c>
      <c r="C17" s="1" t="s">
        <v>93</v>
      </c>
      <c r="D17" t="s">
        <v>94</v>
      </c>
      <c r="E17" s="1">
        <v>1016</v>
      </c>
      <c r="F17" s="3" t="s">
        <v>95</v>
      </c>
      <c r="G17" s="1"/>
      <c r="H17" s="1">
        <v>32</v>
      </c>
      <c r="I17" s="1">
        <f t="shared" si="0"/>
        <v>64</v>
      </c>
      <c r="J17" s="1">
        <v>1</v>
      </c>
      <c r="K17" s="4">
        <v>2</v>
      </c>
      <c r="L17" s="1"/>
      <c r="O17" s="1" t="s">
        <v>250</v>
      </c>
      <c r="P17" s="1" t="s">
        <v>23</v>
      </c>
      <c r="Q17" s="1" t="s">
        <v>38</v>
      </c>
      <c r="R17" s="1" t="s">
        <v>291</v>
      </c>
      <c r="S17" s="1" t="s">
        <v>311</v>
      </c>
      <c r="T17" s="1" t="s">
        <v>305</v>
      </c>
      <c r="U17" s="1" t="s">
        <v>308</v>
      </c>
      <c r="V17" s="50" t="s">
        <v>39</v>
      </c>
      <c r="Z17" s="1"/>
      <c r="AA17" s="79"/>
      <c r="AB17" s="86"/>
      <c r="AC17" s="74"/>
      <c r="AD17" s="74"/>
      <c r="AE17" s="75"/>
    </row>
    <row r="18" spans="1:31">
      <c r="A18" s="62" t="s">
        <v>97</v>
      </c>
      <c r="B18" t="s">
        <v>98</v>
      </c>
      <c r="C18" s="1" t="s">
        <v>99</v>
      </c>
      <c r="D18" t="s">
        <v>100</v>
      </c>
      <c r="E18" s="1">
        <v>1017</v>
      </c>
      <c r="F18" s="1" t="s">
        <v>101</v>
      </c>
      <c r="G18" s="1"/>
      <c r="H18" s="1">
        <v>30</v>
      </c>
      <c r="I18" s="1">
        <f t="shared" si="0"/>
        <v>32</v>
      </c>
      <c r="J18" s="1">
        <v>0</v>
      </c>
      <c r="K18" s="18">
        <v>3</v>
      </c>
      <c r="L18" s="1"/>
      <c r="O18" s="1" t="s">
        <v>236</v>
      </c>
      <c r="P18" s="1" t="s">
        <v>23</v>
      </c>
      <c r="Q18" s="1" t="s">
        <v>38</v>
      </c>
      <c r="R18" s="1" t="s">
        <v>313</v>
      </c>
      <c r="S18" s="1" t="s">
        <v>369</v>
      </c>
      <c r="T18" s="1" t="s">
        <v>324</v>
      </c>
      <c r="U18" s="1" t="s">
        <v>383</v>
      </c>
      <c r="V18" s="50" t="s">
        <v>42</v>
      </c>
      <c r="Z18" s="1"/>
      <c r="AA18" s="79"/>
      <c r="AB18" s="86"/>
      <c r="AC18" s="74"/>
      <c r="AD18" s="74"/>
      <c r="AE18" s="75"/>
    </row>
    <row r="19" spans="1:31">
      <c r="A19" s="62" t="s">
        <v>103</v>
      </c>
      <c r="B19" t="s">
        <v>103</v>
      </c>
      <c r="C19" s="1" t="s">
        <v>104</v>
      </c>
      <c r="D19" t="s">
        <v>105</v>
      </c>
      <c r="E19" s="1">
        <v>1018</v>
      </c>
      <c r="F19" s="3" t="s">
        <v>106</v>
      </c>
      <c r="G19" s="1"/>
      <c r="H19" s="1">
        <v>24</v>
      </c>
      <c r="I19" s="1">
        <f t="shared" si="0"/>
        <v>32</v>
      </c>
      <c r="J19" s="1">
        <v>0</v>
      </c>
      <c r="K19" s="18">
        <v>3</v>
      </c>
      <c r="L19" s="1"/>
      <c r="O19" s="1" t="s">
        <v>107</v>
      </c>
      <c r="P19" s="1" t="s">
        <v>23</v>
      </c>
      <c r="Q19" s="1" t="s">
        <v>38</v>
      </c>
      <c r="R19" s="1" t="s">
        <v>313</v>
      </c>
      <c r="S19" s="1" t="s">
        <v>369</v>
      </c>
      <c r="T19" s="1" t="s">
        <v>324</v>
      </c>
      <c r="U19" s="1" t="s">
        <v>383</v>
      </c>
      <c r="V19" s="42" t="s">
        <v>79</v>
      </c>
      <c r="Z19" s="1"/>
      <c r="AA19" s="79"/>
      <c r="AB19" s="86"/>
      <c r="AC19" s="74"/>
      <c r="AD19" s="74"/>
      <c r="AE19" s="75"/>
    </row>
    <row r="20" spans="1:31">
      <c r="A20" s="97" t="s">
        <v>109</v>
      </c>
      <c r="B20" t="s">
        <v>110</v>
      </c>
      <c r="C20" s="1" t="s">
        <v>111</v>
      </c>
      <c r="D20" t="s">
        <v>112</v>
      </c>
      <c r="E20" s="1">
        <v>1019</v>
      </c>
      <c r="F20" s="3" t="s">
        <v>113</v>
      </c>
      <c r="G20" s="1"/>
      <c r="H20" s="1">
        <v>48</v>
      </c>
      <c r="I20" s="1">
        <f t="shared" si="0"/>
        <v>16</v>
      </c>
      <c r="J20" s="1">
        <v>1</v>
      </c>
      <c r="K20" s="21">
        <v>4</v>
      </c>
      <c r="L20" s="1"/>
      <c r="O20" s="1" t="s">
        <v>114</v>
      </c>
      <c r="P20" s="1" t="s">
        <v>23</v>
      </c>
      <c r="Q20" s="1" t="s">
        <v>38</v>
      </c>
      <c r="R20" s="1" t="s">
        <v>314</v>
      </c>
      <c r="S20" s="1" t="s">
        <v>312</v>
      </c>
      <c r="T20" s="1" t="s">
        <v>306</v>
      </c>
      <c r="U20" s="1" t="s">
        <v>309</v>
      </c>
      <c r="V20" s="42" t="s">
        <v>83</v>
      </c>
      <c r="Z20" s="1"/>
      <c r="AA20" s="79"/>
      <c r="AB20" s="86"/>
      <c r="AC20" s="74"/>
      <c r="AD20" s="74"/>
      <c r="AE20" s="75"/>
    </row>
    <row r="21" spans="1:31">
      <c r="A21" s="109" t="s">
        <v>342</v>
      </c>
      <c r="B21" s="52"/>
      <c r="C21" s="55"/>
      <c r="D21" t="s">
        <v>346</v>
      </c>
      <c r="E21" s="1">
        <v>1020</v>
      </c>
      <c r="F21" s="55" t="s">
        <v>430</v>
      </c>
      <c r="G21" s="1"/>
      <c r="H21" s="1">
        <v>2</v>
      </c>
      <c r="I21" s="1">
        <f t="shared" si="0"/>
        <v>5</v>
      </c>
      <c r="J21" s="1">
        <v>1</v>
      </c>
      <c r="K21" s="6">
        <v>1</v>
      </c>
      <c r="L21" s="1"/>
      <c r="O21" s="1" t="s">
        <v>116</v>
      </c>
      <c r="P21" s="1" t="s">
        <v>23</v>
      </c>
      <c r="Q21" s="1" t="s">
        <v>38</v>
      </c>
      <c r="R21" s="55"/>
      <c r="S21" s="91"/>
      <c r="T21" s="1" t="s">
        <v>419</v>
      </c>
      <c r="V21" s="43" t="s">
        <v>32</v>
      </c>
      <c r="W21" s="58"/>
      <c r="Z21" s="1"/>
      <c r="AA21" s="79"/>
      <c r="AB21" s="86"/>
      <c r="AC21" s="74"/>
      <c r="AD21" s="74"/>
      <c r="AE21" s="75"/>
    </row>
    <row r="22" spans="1:31">
      <c r="A22" s="109" t="s">
        <v>118</v>
      </c>
      <c r="B22" s="52"/>
      <c r="C22" s="55"/>
      <c r="D22" t="s">
        <v>119</v>
      </c>
      <c r="E22" s="1">
        <v>1021</v>
      </c>
      <c r="F22" s="56" t="s">
        <v>430</v>
      </c>
      <c r="G22" s="1"/>
      <c r="H22" s="1">
        <v>2</v>
      </c>
      <c r="I22" s="1">
        <f t="shared" si="0"/>
        <v>5</v>
      </c>
      <c r="J22" s="1">
        <v>1</v>
      </c>
      <c r="K22" s="6">
        <v>1</v>
      </c>
      <c r="L22" s="1"/>
      <c r="O22" s="1" t="s">
        <v>120</v>
      </c>
      <c r="P22" s="1" t="s">
        <v>23</v>
      </c>
      <c r="Q22" s="1" t="s">
        <v>38</v>
      </c>
      <c r="R22" s="55"/>
      <c r="S22" s="91"/>
      <c r="T22" s="1" t="s">
        <v>420</v>
      </c>
      <c r="V22" s="43" t="s">
        <v>155</v>
      </c>
      <c r="W22" s="58"/>
      <c r="Z22" s="1"/>
      <c r="AA22" s="79"/>
      <c r="AB22" s="86"/>
      <c r="AC22" s="74"/>
      <c r="AD22" s="74"/>
      <c r="AE22" s="75"/>
    </row>
    <row r="23" spans="1:31" ht="15" thickBot="1">
      <c r="A23" s="61" t="s">
        <v>122</v>
      </c>
      <c r="B23" t="s">
        <v>123</v>
      </c>
      <c r="C23" s="1" t="s">
        <v>124</v>
      </c>
      <c r="D23" t="s">
        <v>125</v>
      </c>
      <c r="E23" s="1">
        <v>1022</v>
      </c>
      <c r="F23" s="3" t="s">
        <v>126</v>
      </c>
      <c r="G23" s="1"/>
      <c r="H23" s="1">
        <v>70</v>
      </c>
      <c r="I23" s="1">
        <f t="shared" si="0"/>
        <v>8</v>
      </c>
      <c r="J23" s="1">
        <v>0</v>
      </c>
      <c r="K23" s="20">
        <v>5</v>
      </c>
      <c r="L23" s="1"/>
      <c r="M23" s="92" t="s">
        <v>287</v>
      </c>
      <c r="O23" s="1" t="s">
        <v>251</v>
      </c>
      <c r="P23" s="1" t="s">
        <v>23</v>
      </c>
      <c r="Q23" s="1" t="s">
        <v>38</v>
      </c>
      <c r="R23" s="1" t="s">
        <v>228</v>
      </c>
      <c r="S23" s="1" t="s">
        <v>301</v>
      </c>
      <c r="T23" s="1" t="s">
        <v>299</v>
      </c>
      <c r="U23" s="1" t="s">
        <v>293</v>
      </c>
      <c r="V23" s="43" t="s">
        <v>222</v>
      </c>
      <c r="W23" s="58"/>
      <c r="Z23" s="1"/>
      <c r="AA23" s="79"/>
      <c r="AB23" s="74"/>
      <c r="AC23" s="74"/>
      <c r="AD23" s="74"/>
      <c r="AE23" s="75"/>
    </row>
    <row r="24" spans="1:31">
      <c r="A24" s="97" t="s">
        <v>316</v>
      </c>
      <c r="B24" t="s">
        <v>316</v>
      </c>
      <c r="C24" s="1" t="s">
        <v>317</v>
      </c>
      <c r="D24" t="s">
        <v>318</v>
      </c>
      <c r="E24" s="1">
        <v>1023</v>
      </c>
      <c r="F24" s="3" t="s">
        <v>128</v>
      </c>
      <c r="G24" s="1"/>
      <c r="H24" s="1">
        <v>54</v>
      </c>
      <c r="I24" s="1">
        <f t="shared" si="0"/>
        <v>16</v>
      </c>
      <c r="J24" s="1">
        <v>1</v>
      </c>
      <c r="K24" s="21">
        <v>4</v>
      </c>
      <c r="L24" s="1"/>
      <c r="O24" s="1" t="s">
        <v>429</v>
      </c>
      <c r="P24" s="1" t="s">
        <v>23</v>
      </c>
      <c r="Q24" s="1" t="s">
        <v>38</v>
      </c>
      <c r="R24" s="1" t="s">
        <v>286</v>
      </c>
      <c r="S24" s="1" t="s">
        <v>302</v>
      </c>
      <c r="T24" s="1" t="s">
        <v>303</v>
      </c>
      <c r="U24" s="1" t="s">
        <v>294</v>
      </c>
      <c r="V24" s="44" t="s">
        <v>202</v>
      </c>
      <c r="Z24" s="1"/>
      <c r="AA24" s="79"/>
      <c r="AB24" s="94" t="s">
        <v>278</v>
      </c>
      <c r="AC24" s="95" t="s">
        <v>281</v>
      </c>
      <c r="AD24" s="106" t="s">
        <v>295</v>
      </c>
      <c r="AE24" s="75"/>
    </row>
    <row r="25" spans="1:31">
      <c r="A25" s="97" t="s">
        <v>130</v>
      </c>
      <c r="B25" t="s">
        <v>130</v>
      </c>
      <c r="C25" s="1" t="s">
        <v>131</v>
      </c>
      <c r="D25" t="s">
        <v>132</v>
      </c>
      <c r="E25" s="1">
        <v>1024</v>
      </c>
      <c r="F25" s="3" t="s">
        <v>128</v>
      </c>
      <c r="G25" s="1"/>
      <c r="H25" s="1">
        <v>68</v>
      </c>
      <c r="I25" s="1">
        <f t="shared" si="0"/>
        <v>8</v>
      </c>
      <c r="J25" s="1">
        <v>1</v>
      </c>
      <c r="K25" s="20">
        <v>5</v>
      </c>
      <c r="L25" s="1"/>
      <c r="O25" s="1" t="s">
        <v>133</v>
      </c>
      <c r="P25" s="1" t="s">
        <v>23</v>
      </c>
      <c r="Q25" s="1" t="s">
        <v>38</v>
      </c>
      <c r="R25" s="1" t="s">
        <v>286</v>
      </c>
      <c r="S25" s="1" t="s">
        <v>302</v>
      </c>
      <c r="T25" s="1" t="s">
        <v>303</v>
      </c>
      <c r="U25" s="1" t="s">
        <v>294</v>
      </c>
      <c r="V25" s="44" t="s">
        <v>214</v>
      </c>
      <c r="Z25" s="1"/>
      <c r="AA25" s="79"/>
      <c r="AB25" s="79"/>
      <c r="AC25" s="96" t="s">
        <v>282</v>
      </c>
      <c r="AD25" s="106" t="s">
        <v>295</v>
      </c>
      <c r="AE25" s="75"/>
    </row>
    <row r="26" spans="1:31">
      <c r="A26" s="97" t="s">
        <v>135</v>
      </c>
      <c r="B26" t="s">
        <v>136</v>
      </c>
      <c r="C26" s="1" t="s">
        <v>137</v>
      </c>
      <c r="D26" t="s">
        <v>138</v>
      </c>
      <c r="E26" s="1">
        <v>1025</v>
      </c>
      <c r="F26" s="3" t="s">
        <v>139</v>
      </c>
      <c r="G26" s="1"/>
      <c r="H26" s="1">
        <v>74</v>
      </c>
      <c r="I26" s="1">
        <f t="shared" si="0"/>
        <v>4</v>
      </c>
      <c r="J26" s="1">
        <v>1</v>
      </c>
      <c r="K26" s="22">
        <v>6</v>
      </c>
      <c r="L26" s="1"/>
      <c r="N26" s="1" t="s">
        <v>140</v>
      </c>
      <c r="O26" s="1" t="s">
        <v>252</v>
      </c>
      <c r="P26" s="1" t="s">
        <v>23</v>
      </c>
      <c r="Q26" s="1" t="s">
        <v>38</v>
      </c>
      <c r="R26" s="1" t="s">
        <v>286</v>
      </c>
      <c r="S26" s="1" t="s">
        <v>302</v>
      </c>
      <c r="T26" s="1" t="s">
        <v>303</v>
      </c>
      <c r="U26" s="1" t="s">
        <v>294</v>
      </c>
      <c r="V26" s="44" t="s">
        <v>207</v>
      </c>
      <c r="W26" s="58"/>
      <c r="Z26" s="1"/>
      <c r="AA26" s="87" t="s">
        <v>264</v>
      </c>
      <c r="AB26" s="78" t="s">
        <v>279</v>
      </c>
      <c r="AC26" s="75"/>
      <c r="AD26" s="74"/>
      <c r="AE26" s="75"/>
    </row>
    <row r="27" spans="1:31">
      <c r="A27" s="97" t="s">
        <v>142</v>
      </c>
      <c r="B27" t="s">
        <v>142</v>
      </c>
      <c r="C27" s="1" t="s">
        <v>143</v>
      </c>
      <c r="D27" t="s">
        <v>144</v>
      </c>
      <c r="E27" s="1">
        <v>1026</v>
      </c>
      <c r="F27" s="3" t="s">
        <v>145</v>
      </c>
      <c r="G27" s="1"/>
      <c r="H27" s="1">
        <v>66</v>
      </c>
      <c r="I27" s="1">
        <f t="shared" si="0"/>
        <v>8</v>
      </c>
      <c r="J27" s="1">
        <v>1</v>
      </c>
      <c r="K27" s="20">
        <v>5</v>
      </c>
      <c r="L27" s="1"/>
      <c r="N27" s="1" t="s">
        <v>140</v>
      </c>
      <c r="O27" s="1" t="s">
        <v>247</v>
      </c>
      <c r="P27" s="1" t="s">
        <v>23</v>
      </c>
      <c r="Q27" s="1" t="s">
        <v>38</v>
      </c>
      <c r="R27" s="1" t="s">
        <v>286</v>
      </c>
      <c r="S27" s="1" t="s">
        <v>302</v>
      </c>
      <c r="T27" s="1" t="s">
        <v>303</v>
      </c>
      <c r="U27" s="1" t="s">
        <v>294</v>
      </c>
      <c r="V27" s="44" t="s">
        <v>187</v>
      </c>
      <c r="Z27" s="1"/>
      <c r="AA27" s="79"/>
      <c r="AB27" s="79"/>
      <c r="AC27" s="75"/>
      <c r="AD27" s="74"/>
      <c r="AE27" s="75"/>
    </row>
    <row r="28" spans="1:31">
      <c r="A28" s="98" t="s">
        <v>147</v>
      </c>
      <c r="B28" t="s">
        <v>147</v>
      </c>
      <c r="C28" s="1" t="s">
        <v>148</v>
      </c>
      <c r="D28" t="s">
        <v>149</v>
      </c>
      <c r="E28" s="1">
        <v>1027</v>
      </c>
      <c r="F28" s="3" t="s">
        <v>150</v>
      </c>
      <c r="G28" s="1"/>
      <c r="H28" s="1">
        <v>98</v>
      </c>
      <c r="I28" s="1">
        <f t="shared" si="0"/>
        <v>2</v>
      </c>
      <c r="J28" s="1">
        <v>0</v>
      </c>
      <c r="K28" s="19">
        <v>7</v>
      </c>
      <c r="L28" s="1"/>
      <c r="N28" s="1" t="s">
        <v>298</v>
      </c>
      <c r="O28" s="1" t="s">
        <v>243</v>
      </c>
      <c r="P28" s="1" t="s">
        <v>23</v>
      </c>
      <c r="Q28" s="1" t="s">
        <v>38</v>
      </c>
      <c r="R28" s="1" t="s">
        <v>292</v>
      </c>
      <c r="S28" s="1" t="s">
        <v>311</v>
      </c>
      <c r="T28" s="1" t="s">
        <v>421</v>
      </c>
      <c r="U28" s="1" t="s">
        <v>428</v>
      </c>
      <c r="V28" s="44" t="s">
        <v>203</v>
      </c>
      <c r="Z28" s="1"/>
      <c r="AA28" s="79"/>
      <c r="AB28" s="81" t="s">
        <v>280</v>
      </c>
      <c r="AC28" s="82" t="s">
        <v>283</v>
      </c>
      <c r="AD28" s="74"/>
      <c r="AE28" s="75"/>
    </row>
    <row r="29" spans="1:31" ht="15" thickBot="1">
      <c r="A29" s="98" t="s">
        <v>152</v>
      </c>
      <c r="B29" t="s">
        <v>322</v>
      </c>
      <c r="C29" s="1" t="s">
        <v>153</v>
      </c>
      <c r="D29" t="s">
        <v>154</v>
      </c>
      <c r="E29" s="1">
        <v>1028</v>
      </c>
      <c r="F29" s="3" t="s">
        <v>150</v>
      </c>
      <c r="G29" s="1"/>
      <c r="H29" s="1">
        <v>130</v>
      </c>
      <c r="I29" s="1">
        <f t="shared" si="0"/>
        <v>1</v>
      </c>
      <c r="J29" s="1">
        <v>0</v>
      </c>
      <c r="K29" s="23">
        <v>8</v>
      </c>
      <c r="L29" s="1"/>
      <c r="N29" s="1" t="s">
        <v>297</v>
      </c>
      <c r="O29" s="1" t="s">
        <v>242</v>
      </c>
      <c r="P29" s="1" t="s">
        <v>23</v>
      </c>
      <c r="Q29" s="1" t="s">
        <v>38</v>
      </c>
      <c r="R29" s="1" t="s">
        <v>292</v>
      </c>
      <c r="S29" s="1" t="s">
        <v>311</v>
      </c>
      <c r="T29" s="1" t="s">
        <v>421</v>
      </c>
      <c r="U29" s="1" t="s">
        <v>428</v>
      </c>
      <c r="V29" s="44" t="s">
        <v>204</v>
      </c>
      <c r="Z29" s="1"/>
      <c r="AA29" s="79"/>
      <c r="AB29" s="72"/>
      <c r="AC29" s="80" t="s">
        <v>284</v>
      </c>
      <c r="AD29" s="74"/>
      <c r="AE29" s="75"/>
    </row>
    <row r="30" spans="1:31">
      <c r="A30" s="97" t="s">
        <v>156</v>
      </c>
      <c r="B30" t="s">
        <v>156</v>
      </c>
      <c r="C30" s="1" t="s">
        <v>157</v>
      </c>
      <c r="D30" t="s">
        <v>158</v>
      </c>
      <c r="E30" s="1">
        <v>1029</v>
      </c>
      <c r="F30" s="3" t="s">
        <v>159</v>
      </c>
      <c r="G30" s="1"/>
      <c r="H30" s="1">
        <v>66</v>
      </c>
      <c r="I30" s="1">
        <f t="shared" si="0"/>
        <v>8</v>
      </c>
      <c r="J30" s="1">
        <v>1</v>
      </c>
      <c r="K30" s="20">
        <v>5</v>
      </c>
      <c r="L30" s="1"/>
      <c r="O30" s="1" t="s">
        <v>245</v>
      </c>
      <c r="P30" s="1" t="s">
        <v>23</v>
      </c>
      <c r="Q30" s="1" t="s">
        <v>38</v>
      </c>
      <c r="R30" s="1" t="s">
        <v>286</v>
      </c>
      <c r="S30" s="1" t="s">
        <v>302</v>
      </c>
      <c r="T30" s="1" t="s">
        <v>303</v>
      </c>
      <c r="U30" s="1" t="s">
        <v>294</v>
      </c>
      <c r="V30" s="44" t="s">
        <v>115</v>
      </c>
      <c r="W30" s="58"/>
      <c r="Z30" s="1"/>
      <c r="AA30" s="79"/>
      <c r="AB30" s="86"/>
      <c r="AC30" s="74"/>
      <c r="AD30" s="74"/>
      <c r="AE30" s="75"/>
    </row>
    <row r="31" spans="1:31">
      <c r="A31" s="97" t="s">
        <v>161</v>
      </c>
      <c r="B31" t="s">
        <v>161</v>
      </c>
      <c r="C31" s="1" t="s">
        <v>162</v>
      </c>
      <c r="D31" t="s">
        <v>163</v>
      </c>
      <c r="E31" s="1">
        <v>1030</v>
      </c>
      <c r="F31" s="3" t="s">
        <v>164</v>
      </c>
      <c r="G31" s="1"/>
      <c r="H31" s="1">
        <v>66</v>
      </c>
      <c r="I31" s="1">
        <f t="shared" si="0"/>
        <v>8</v>
      </c>
      <c r="J31" s="1">
        <v>1</v>
      </c>
      <c r="K31" s="20">
        <v>5</v>
      </c>
      <c r="L31" s="1"/>
      <c r="O31" s="1" t="s">
        <v>245</v>
      </c>
      <c r="P31" s="1" t="s">
        <v>23</v>
      </c>
      <c r="Q31" s="1" t="s">
        <v>38</v>
      </c>
      <c r="R31" s="1" t="s">
        <v>286</v>
      </c>
      <c r="S31" s="1" t="s">
        <v>302</v>
      </c>
      <c r="T31" s="1" t="s">
        <v>303</v>
      </c>
      <c r="U31" s="1" t="s">
        <v>308</v>
      </c>
      <c r="V31" s="44" t="s">
        <v>90</v>
      </c>
      <c r="W31" s="58"/>
      <c r="Z31" s="1"/>
      <c r="AA31" s="79"/>
      <c r="AB31" s="86"/>
      <c r="AC31" s="74"/>
      <c r="AD31" s="74"/>
      <c r="AE31" s="75"/>
    </row>
    <row r="32" spans="1:31">
      <c r="A32" s="97" t="s">
        <v>166</v>
      </c>
      <c r="B32" t="s">
        <v>167</v>
      </c>
      <c r="C32" s="1" t="s">
        <v>168</v>
      </c>
      <c r="D32" t="s">
        <v>169</v>
      </c>
      <c r="E32" s="1">
        <v>1031</v>
      </c>
      <c r="F32" s="3" t="s">
        <v>170</v>
      </c>
      <c r="G32" s="1"/>
      <c r="H32" s="1">
        <v>50</v>
      </c>
      <c r="I32" s="1">
        <f t="shared" si="0"/>
        <v>32</v>
      </c>
      <c r="J32" s="1">
        <v>0</v>
      </c>
      <c r="K32" s="18">
        <v>3</v>
      </c>
      <c r="L32" s="57" t="s">
        <v>254</v>
      </c>
      <c r="O32" s="1" t="s">
        <v>244</v>
      </c>
      <c r="P32" s="1" t="s">
        <v>23</v>
      </c>
      <c r="Q32" s="1" t="s">
        <v>38</v>
      </c>
      <c r="R32" s="1" t="s">
        <v>253</v>
      </c>
      <c r="S32" s="1" t="s">
        <v>311</v>
      </c>
      <c r="T32" s="1" t="s">
        <v>305</v>
      </c>
      <c r="U32" s="1" t="s">
        <v>308</v>
      </c>
      <c r="V32" s="44" t="s">
        <v>108</v>
      </c>
      <c r="Z32" s="1"/>
      <c r="AA32" s="79"/>
      <c r="AB32" s="86"/>
      <c r="AC32" s="74"/>
      <c r="AD32" s="74"/>
      <c r="AE32" s="75"/>
    </row>
    <row r="33" spans="1:31" ht="14.15" customHeight="1">
      <c r="A33" s="98" t="s">
        <v>172</v>
      </c>
      <c r="B33" t="s">
        <v>172</v>
      </c>
      <c r="C33" s="1" t="s">
        <v>173</v>
      </c>
      <c r="D33" t="s">
        <v>174</v>
      </c>
      <c r="E33" s="1">
        <v>1032</v>
      </c>
      <c r="F33" s="3" t="s">
        <v>175</v>
      </c>
      <c r="G33" s="1"/>
      <c r="H33" s="1">
        <v>120</v>
      </c>
      <c r="I33" s="1">
        <f t="shared" si="0"/>
        <v>2</v>
      </c>
      <c r="J33" s="1">
        <v>0</v>
      </c>
      <c r="K33" s="19">
        <v>7</v>
      </c>
      <c r="L33" s="1"/>
      <c r="N33" s="1" t="s">
        <v>176</v>
      </c>
      <c r="O33" s="1" t="s">
        <v>243</v>
      </c>
      <c r="P33" s="1" t="s">
        <v>23</v>
      </c>
      <c r="Q33" s="1" t="s">
        <v>38</v>
      </c>
      <c r="R33" s="1" t="s">
        <v>292</v>
      </c>
      <c r="S33" s="1" t="s">
        <v>311</v>
      </c>
      <c r="T33" s="1" t="s">
        <v>421</v>
      </c>
      <c r="U33" s="1" t="s">
        <v>428</v>
      </c>
      <c r="V33" s="44" t="s">
        <v>160</v>
      </c>
      <c r="Z33" s="1"/>
      <c r="AA33" s="79"/>
      <c r="AB33" s="86"/>
      <c r="AC33" s="74"/>
      <c r="AD33" s="74"/>
      <c r="AE33" s="75"/>
    </row>
    <row r="34" spans="1:31" ht="15" thickBot="1">
      <c r="A34" s="97" t="s">
        <v>178</v>
      </c>
      <c r="B34" t="s">
        <v>178</v>
      </c>
      <c r="C34" s="1" t="s">
        <v>179</v>
      </c>
      <c r="D34" t="s">
        <v>180</v>
      </c>
      <c r="E34" s="1">
        <v>1033</v>
      </c>
      <c r="F34" s="3" t="s">
        <v>181</v>
      </c>
      <c r="G34" s="1"/>
      <c r="H34" s="1">
        <v>32</v>
      </c>
      <c r="I34" s="1">
        <f t="shared" ref="I34:I54" si="1">IF(K34=1, 5, 2^(8-K34))</f>
        <v>64</v>
      </c>
      <c r="J34" s="1">
        <v>1</v>
      </c>
      <c r="K34" s="4">
        <v>2</v>
      </c>
      <c r="L34" s="1"/>
      <c r="O34" s="1" t="s">
        <v>250</v>
      </c>
      <c r="P34" s="1" t="s">
        <v>23</v>
      </c>
      <c r="Q34" s="1" t="s">
        <v>38</v>
      </c>
      <c r="R34" s="1" t="s">
        <v>253</v>
      </c>
      <c r="S34" s="1" t="s">
        <v>312</v>
      </c>
      <c r="T34" s="1" t="s">
        <v>306</v>
      </c>
      <c r="U34" s="1" t="s">
        <v>309</v>
      </c>
      <c r="V34" s="44" t="s">
        <v>121</v>
      </c>
      <c r="Z34" s="1"/>
      <c r="AA34" s="88"/>
      <c r="AB34" s="89"/>
      <c r="AC34" s="90"/>
      <c r="AD34" s="90"/>
      <c r="AE34" s="76"/>
    </row>
    <row r="35" spans="1:31" ht="15" thickBot="1">
      <c r="A35" s="97" t="s">
        <v>183</v>
      </c>
      <c r="B35" t="s">
        <v>183</v>
      </c>
      <c r="C35" s="1" t="s">
        <v>184</v>
      </c>
      <c r="D35" t="s">
        <v>185</v>
      </c>
      <c r="E35" s="1">
        <v>1034</v>
      </c>
      <c r="F35" s="3" t="s">
        <v>186</v>
      </c>
      <c r="G35" s="1"/>
      <c r="H35" s="1">
        <v>50</v>
      </c>
      <c r="I35" s="1">
        <f t="shared" si="1"/>
        <v>32</v>
      </c>
      <c r="J35" s="1">
        <v>1</v>
      </c>
      <c r="K35" s="18">
        <v>3</v>
      </c>
      <c r="L35" s="1"/>
      <c r="O35" s="1" t="s">
        <v>246</v>
      </c>
      <c r="P35" s="1" t="s">
        <v>23</v>
      </c>
      <c r="Q35" s="1" t="s">
        <v>38</v>
      </c>
      <c r="R35" s="1" t="s">
        <v>253</v>
      </c>
      <c r="S35" s="1" t="s">
        <v>311</v>
      </c>
      <c r="T35" s="1" t="s">
        <v>305</v>
      </c>
      <c r="U35" s="1" t="s">
        <v>308</v>
      </c>
      <c r="V35" s="44" t="s">
        <v>171</v>
      </c>
      <c r="W35" s="58"/>
      <c r="X35" s="1"/>
      <c r="Y35" s="1"/>
      <c r="Z35" s="1"/>
    </row>
    <row r="36" spans="1:31" ht="15" thickBot="1">
      <c r="A36" s="97" t="s">
        <v>319</v>
      </c>
      <c r="B36" t="s">
        <v>319</v>
      </c>
      <c r="C36" s="1" t="s">
        <v>320</v>
      </c>
      <c r="D36" t="s">
        <v>321</v>
      </c>
      <c r="E36" s="1">
        <v>1035</v>
      </c>
      <c r="F36" s="3" t="s">
        <v>170</v>
      </c>
      <c r="G36" s="1"/>
      <c r="H36" s="1">
        <v>28</v>
      </c>
      <c r="I36" s="1">
        <f t="shared" si="1"/>
        <v>64</v>
      </c>
      <c r="J36" s="1">
        <v>1</v>
      </c>
      <c r="K36" s="4">
        <v>2</v>
      </c>
      <c r="L36" s="1"/>
      <c r="O36" s="1" t="s">
        <v>248</v>
      </c>
      <c r="P36" s="1" t="s">
        <v>23</v>
      </c>
      <c r="Q36" s="1" t="s">
        <v>38</v>
      </c>
      <c r="R36" s="1" t="s">
        <v>253</v>
      </c>
      <c r="S36" s="1" t="s">
        <v>311</v>
      </c>
      <c r="T36" s="1" t="s">
        <v>305</v>
      </c>
      <c r="U36" s="1" t="s">
        <v>308</v>
      </c>
      <c r="V36" s="44" t="s">
        <v>215</v>
      </c>
      <c r="W36" s="58"/>
      <c r="X36" s="1"/>
      <c r="Y36" s="1"/>
      <c r="Z36" s="1"/>
      <c r="AA36" s="54" t="s">
        <v>260</v>
      </c>
      <c r="AB36" s="25" t="s">
        <v>15</v>
      </c>
      <c r="AC36" s="25" t="s">
        <v>16</v>
      </c>
      <c r="AD36" s="25" t="s">
        <v>17</v>
      </c>
    </row>
    <row r="37" spans="1:31">
      <c r="A37" s="97" t="s">
        <v>189</v>
      </c>
      <c r="B37" t="s">
        <v>190</v>
      </c>
      <c r="C37" s="1" t="s">
        <v>191</v>
      </c>
      <c r="D37" t="s">
        <v>192</v>
      </c>
      <c r="E37" s="1">
        <v>1036</v>
      </c>
      <c r="F37" s="3" t="s">
        <v>193</v>
      </c>
      <c r="G37" s="1"/>
      <c r="H37" s="1">
        <v>42</v>
      </c>
      <c r="I37" s="1">
        <f t="shared" si="1"/>
        <v>16</v>
      </c>
      <c r="J37" s="1">
        <v>1</v>
      </c>
      <c r="K37" s="21">
        <v>4</v>
      </c>
      <c r="L37" s="1"/>
      <c r="O37" s="1" t="s">
        <v>249</v>
      </c>
      <c r="P37" s="1" t="s">
        <v>23</v>
      </c>
      <c r="Q37" s="1" t="s">
        <v>38</v>
      </c>
      <c r="R37" s="1" t="s">
        <v>253</v>
      </c>
      <c r="S37" s="1" t="s">
        <v>311</v>
      </c>
      <c r="T37" s="1" t="s">
        <v>305</v>
      </c>
      <c r="U37" s="1" t="s">
        <v>308</v>
      </c>
      <c r="V37" s="44" t="s">
        <v>209</v>
      </c>
      <c r="W37" s="58"/>
      <c r="X37" s="1"/>
      <c r="Y37" s="1"/>
      <c r="Z37" s="1"/>
      <c r="AA37" s="30" t="s">
        <v>25</v>
      </c>
      <c r="AB37" s="26"/>
      <c r="AC37" s="26"/>
      <c r="AD37" s="27"/>
    </row>
    <row r="38" spans="1:31">
      <c r="A38" s="97" t="s">
        <v>195</v>
      </c>
      <c r="B38" t="s">
        <v>195</v>
      </c>
      <c r="C38" s="1" t="s">
        <v>196</v>
      </c>
      <c r="D38" t="s">
        <v>197</v>
      </c>
      <c r="E38" s="1">
        <v>1037</v>
      </c>
      <c r="F38" s="3" t="s">
        <v>198</v>
      </c>
      <c r="G38" s="1"/>
      <c r="H38" s="1">
        <v>15</v>
      </c>
      <c r="I38" s="1">
        <f t="shared" si="1"/>
        <v>64</v>
      </c>
      <c r="J38" s="1">
        <v>1</v>
      </c>
      <c r="K38" s="4">
        <v>2</v>
      </c>
      <c r="L38" s="1"/>
      <c r="O38" s="1" t="s">
        <v>239</v>
      </c>
      <c r="P38" s="1" t="s">
        <v>23</v>
      </c>
      <c r="Q38" s="1" t="s">
        <v>38</v>
      </c>
      <c r="R38" s="1" t="s">
        <v>253</v>
      </c>
      <c r="S38" s="1" t="s">
        <v>311</v>
      </c>
      <c r="T38" s="1" t="s">
        <v>305</v>
      </c>
      <c r="U38" s="1" t="s">
        <v>308</v>
      </c>
      <c r="V38" s="44" t="s">
        <v>199</v>
      </c>
      <c r="W38" s="58"/>
      <c r="X38" s="1"/>
      <c r="Y38" s="1"/>
      <c r="Z38" s="1"/>
      <c r="AA38" s="31" t="s">
        <v>33</v>
      </c>
      <c r="AB38" s="1"/>
      <c r="AC38" s="1"/>
      <c r="AD38" s="7"/>
    </row>
    <row r="39" spans="1:31">
      <c r="A39" s="97" t="s">
        <v>326</v>
      </c>
      <c r="B39" t="s">
        <v>326</v>
      </c>
      <c r="C39" s="1" t="s">
        <v>328</v>
      </c>
      <c r="D39" t="s">
        <v>330</v>
      </c>
      <c r="E39" s="1">
        <v>1038</v>
      </c>
      <c r="F39" s="1" t="s">
        <v>73</v>
      </c>
      <c r="G39" s="1"/>
      <c r="H39" s="1">
        <v>56</v>
      </c>
      <c r="I39" s="1">
        <f t="shared" si="1"/>
        <v>16</v>
      </c>
      <c r="J39" s="1">
        <v>1</v>
      </c>
      <c r="K39" s="21">
        <v>4</v>
      </c>
      <c r="L39" s="1"/>
      <c r="O39" s="1" t="s">
        <v>422</v>
      </c>
      <c r="P39" s="1" t="s">
        <v>23</v>
      </c>
      <c r="Q39" s="1" t="s">
        <v>38</v>
      </c>
      <c r="R39" s="1" t="s">
        <v>286</v>
      </c>
      <c r="S39" s="1" t="s">
        <v>302</v>
      </c>
      <c r="T39" s="1" t="s">
        <v>303</v>
      </c>
      <c r="U39" s="1" t="s">
        <v>294</v>
      </c>
      <c r="V39" s="44" t="s">
        <v>200</v>
      </c>
      <c r="W39" s="58"/>
      <c r="X39" s="1"/>
      <c r="Y39" s="1"/>
      <c r="Z39" s="1"/>
      <c r="AA39" s="32" t="s">
        <v>40</v>
      </c>
      <c r="AB39" s="1"/>
      <c r="AC39" s="1"/>
      <c r="AD39" s="7"/>
    </row>
    <row r="40" spans="1:31">
      <c r="A40" s="97" t="s">
        <v>325</v>
      </c>
      <c r="B40" t="s">
        <v>325</v>
      </c>
      <c r="C40" s="1" t="s">
        <v>327</v>
      </c>
      <c r="D40" t="s">
        <v>331</v>
      </c>
      <c r="E40" s="1">
        <v>1039</v>
      </c>
      <c r="F40" s="1" t="s">
        <v>73</v>
      </c>
      <c r="G40" s="1"/>
      <c r="H40" s="1">
        <v>56</v>
      </c>
      <c r="I40" s="1">
        <f t="shared" si="1"/>
        <v>16</v>
      </c>
      <c r="J40" s="1">
        <v>1</v>
      </c>
      <c r="K40" s="21">
        <v>4</v>
      </c>
      <c r="L40" s="1"/>
      <c r="O40" t="s">
        <v>423</v>
      </c>
      <c r="P40" s="1" t="s">
        <v>23</v>
      </c>
      <c r="Q40" s="1" t="s">
        <v>38</v>
      </c>
      <c r="R40" s="1" t="s">
        <v>286</v>
      </c>
      <c r="S40" s="1" t="s">
        <v>302</v>
      </c>
      <c r="T40" s="1" t="s">
        <v>303</v>
      </c>
      <c r="U40" s="1" t="s">
        <v>294</v>
      </c>
      <c r="V40" s="44" t="s">
        <v>201</v>
      </c>
      <c r="W40" s="58"/>
      <c r="X40" s="1"/>
      <c r="Y40" s="1"/>
      <c r="Z40" s="1"/>
      <c r="AA40" s="33" t="s">
        <v>43</v>
      </c>
      <c r="AB40" s="1"/>
      <c r="AC40" s="1"/>
      <c r="AD40" s="7"/>
    </row>
    <row r="41" spans="1:31">
      <c r="A41" s="97" t="s">
        <v>332</v>
      </c>
      <c r="B41" t="s">
        <v>332</v>
      </c>
      <c r="C41" s="1" t="s">
        <v>334</v>
      </c>
      <c r="D41" t="s">
        <v>339</v>
      </c>
      <c r="E41" s="1">
        <v>1040</v>
      </c>
      <c r="F41" s="1" t="s">
        <v>336</v>
      </c>
      <c r="G41" s="1"/>
      <c r="H41" s="1">
        <v>56</v>
      </c>
      <c r="I41" s="1">
        <f t="shared" si="1"/>
        <v>16</v>
      </c>
      <c r="J41" s="1">
        <v>1</v>
      </c>
      <c r="K41" s="21">
        <v>4</v>
      </c>
      <c r="L41" s="1"/>
      <c r="O41" t="s">
        <v>424</v>
      </c>
      <c r="P41" s="1" t="s">
        <v>23</v>
      </c>
      <c r="Q41" s="1" t="s">
        <v>38</v>
      </c>
      <c r="R41" s="1" t="s">
        <v>286</v>
      </c>
      <c r="S41" s="1" t="s">
        <v>302</v>
      </c>
      <c r="T41" s="1" t="s">
        <v>303</v>
      </c>
      <c r="U41" s="1" t="s">
        <v>294</v>
      </c>
      <c r="V41" s="44" t="s">
        <v>182</v>
      </c>
      <c r="X41" s="1"/>
      <c r="Y41" s="1"/>
      <c r="Z41" s="1"/>
      <c r="AA41" s="34" t="s">
        <v>45</v>
      </c>
      <c r="AB41" s="1"/>
      <c r="AC41" s="1"/>
      <c r="AD41" s="7"/>
    </row>
    <row r="42" spans="1:31">
      <c r="A42" s="97" t="s">
        <v>333</v>
      </c>
      <c r="B42" t="s">
        <v>333</v>
      </c>
      <c r="C42" s="1" t="s">
        <v>335</v>
      </c>
      <c r="D42" t="s">
        <v>340</v>
      </c>
      <c r="E42" s="1">
        <v>1041</v>
      </c>
      <c r="F42" s="1" t="s">
        <v>329</v>
      </c>
      <c r="G42" s="1"/>
      <c r="H42" s="1">
        <v>56</v>
      </c>
      <c r="I42" s="1">
        <f t="shared" si="1"/>
        <v>8</v>
      </c>
      <c r="J42" s="1">
        <v>1</v>
      </c>
      <c r="K42" s="20">
        <v>5</v>
      </c>
      <c r="L42" s="1"/>
      <c r="O42" t="s">
        <v>418</v>
      </c>
      <c r="P42" s="1" t="s">
        <v>23</v>
      </c>
      <c r="Q42" s="1" t="s">
        <v>38</v>
      </c>
      <c r="R42" s="1" t="s">
        <v>286</v>
      </c>
      <c r="S42" s="1" t="s">
        <v>302</v>
      </c>
      <c r="T42" s="1" t="s">
        <v>303</v>
      </c>
      <c r="U42" s="1" t="s">
        <v>294</v>
      </c>
      <c r="V42" s="44" t="s">
        <v>211</v>
      </c>
      <c r="X42" s="1"/>
      <c r="Y42" s="1"/>
      <c r="Z42" s="1"/>
      <c r="AA42" s="35" t="s">
        <v>47</v>
      </c>
      <c r="AB42" s="1"/>
      <c r="AC42" s="1"/>
      <c r="AD42" s="7"/>
    </row>
    <row r="43" spans="1:31">
      <c r="A43" s="97" t="s">
        <v>337</v>
      </c>
      <c r="B43" t="s">
        <v>337</v>
      </c>
      <c r="C43" s="1" t="s">
        <v>338</v>
      </c>
      <c r="D43" s="1" t="s">
        <v>341</v>
      </c>
      <c r="E43" s="1">
        <v>1042</v>
      </c>
      <c r="F43" s="1" t="s">
        <v>329</v>
      </c>
      <c r="G43" s="3"/>
      <c r="H43" s="1">
        <v>56</v>
      </c>
      <c r="I43" s="1">
        <f t="shared" si="1"/>
        <v>16</v>
      </c>
      <c r="J43" s="1">
        <v>1</v>
      </c>
      <c r="K43" s="21">
        <v>4</v>
      </c>
      <c r="L43" s="1"/>
      <c r="O43" s="1" t="s">
        <v>425</v>
      </c>
      <c r="P43" s="1" t="s">
        <v>23</v>
      </c>
      <c r="Q43" s="1" t="s">
        <v>38</v>
      </c>
      <c r="R43" s="1" t="s">
        <v>286</v>
      </c>
      <c r="S43" s="1" t="s">
        <v>302</v>
      </c>
      <c r="T43" s="1" t="s">
        <v>303</v>
      </c>
      <c r="U43" s="1" t="s">
        <v>294</v>
      </c>
      <c r="V43" s="44" t="s">
        <v>221</v>
      </c>
      <c r="Y43" s="1"/>
      <c r="AA43" s="36" t="s">
        <v>54</v>
      </c>
      <c r="AB43" s="1"/>
      <c r="AC43" s="1"/>
      <c r="AD43" s="7"/>
    </row>
    <row r="44" spans="1:31" ht="15" thickBot="1">
      <c r="A44" s="109" t="s">
        <v>343</v>
      </c>
      <c r="B44" s="52" t="s">
        <v>343</v>
      </c>
      <c r="C44" s="55"/>
      <c r="D44" s="1" t="s">
        <v>344</v>
      </c>
      <c r="E44" s="1">
        <v>1043</v>
      </c>
      <c r="F44" s="56" t="s">
        <v>430</v>
      </c>
      <c r="G44" s="3"/>
      <c r="H44" s="1">
        <v>3</v>
      </c>
      <c r="I44" s="1">
        <f t="shared" si="1"/>
        <v>5</v>
      </c>
      <c r="J44" s="1">
        <v>1</v>
      </c>
      <c r="K44" s="6">
        <v>1</v>
      </c>
      <c r="L44" s="1"/>
      <c r="O44" s="1" t="s">
        <v>396</v>
      </c>
      <c r="P44" s="1" t="s">
        <v>23</v>
      </c>
      <c r="Q44" s="1" t="s">
        <v>38</v>
      </c>
      <c r="R44" s="55"/>
      <c r="S44" s="55"/>
      <c r="T44" s="1" t="s">
        <v>419</v>
      </c>
      <c r="V44" s="44" t="s">
        <v>218</v>
      </c>
      <c r="Y44" s="1"/>
      <c r="AA44" s="37" t="s">
        <v>58</v>
      </c>
      <c r="AB44" s="1"/>
      <c r="AC44" s="1"/>
      <c r="AD44" s="7"/>
    </row>
    <row r="45" spans="1:31" ht="17.5" thickBot="1">
      <c r="A45" s="97" t="s">
        <v>347</v>
      </c>
      <c r="B45" t="s">
        <v>348</v>
      </c>
      <c r="C45" s="1" t="s">
        <v>349</v>
      </c>
      <c r="D45" s="1" t="s">
        <v>350</v>
      </c>
      <c r="E45" s="1">
        <v>1044</v>
      </c>
      <c r="F45" s="3" t="s">
        <v>390</v>
      </c>
      <c r="G45" s="3"/>
      <c r="H45" s="1">
        <v>71</v>
      </c>
      <c r="I45" s="1">
        <f t="shared" si="1"/>
        <v>4</v>
      </c>
      <c r="J45" s="1">
        <v>1</v>
      </c>
      <c r="K45" s="22">
        <v>6</v>
      </c>
      <c r="L45" s="1"/>
      <c r="O45" s="1" t="s">
        <v>426</v>
      </c>
      <c r="P45" s="1" t="s">
        <v>23</v>
      </c>
      <c r="Q45" s="1" t="s">
        <v>38</v>
      </c>
      <c r="R45" s="1" t="s">
        <v>253</v>
      </c>
      <c r="S45" s="1" t="s">
        <v>311</v>
      </c>
      <c r="T45" s="1" t="s">
        <v>305</v>
      </c>
      <c r="U45" s="1" t="s">
        <v>308</v>
      </c>
      <c r="V45" s="44" t="s">
        <v>220</v>
      </c>
      <c r="Y45" s="1"/>
      <c r="AA45" s="38"/>
      <c r="AB45" s="28">
        <v>1</v>
      </c>
      <c r="AC45" s="24"/>
      <c r="AD45" s="5" t="s">
        <v>62</v>
      </c>
    </row>
    <row r="46" spans="1:31">
      <c r="A46" s="97" t="s">
        <v>353</v>
      </c>
      <c r="B46" t="s">
        <v>351</v>
      </c>
      <c r="C46" s="1" t="s">
        <v>352</v>
      </c>
      <c r="D46" s="1" t="s">
        <v>354</v>
      </c>
      <c r="E46" s="1">
        <v>1045</v>
      </c>
      <c r="F46" s="3" t="s">
        <v>389</v>
      </c>
      <c r="G46" s="3"/>
      <c r="H46" s="1">
        <v>65</v>
      </c>
      <c r="I46" s="1">
        <f t="shared" si="1"/>
        <v>8</v>
      </c>
      <c r="J46" s="1">
        <v>1</v>
      </c>
      <c r="K46" s="20">
        <v>5</v>
      </c>
      <c r="L46" s="1"/>
      <c r="O46" s="1" t="s">
        <v>426</v>
      </c>
      <c r="P46" s="1" t="s">
        <v>23</v>
      </c>
      <c r="Q46" s="1" t="s">
        <v>38</v>
      </c>
      <c r="R46" s="1" t="s">
        <v>253</v>
      </c>
      <c r="S46" s="1" t="s">
        <v>311</v>
      </c>
      <c r="T46" s="1" t="s">
        <v>305</v>
      </c>
      <c r="U46" s="1" t="s">
        <v>308</v>
      </c>
      <c r="V46" s="44" t="s">
        <v>219</v>
      </c>
      <c r="Y46" s="1"/>
    </row>
    <row r="47" spans="1:31">
      <c r="A47" s="97" t="s">
        <v>363</v>
      </c>
      <c r="B47" t="s">
        <v>363</v>
      </c>
      <c r="C47" s="1" t="s">
        <v>384</v>
      </c>
      <c r="D47" s="1" t="s">
        <v>365</v>
      </c>
      <c r="E47" s="1">
        <v>1046</v>
      </c>
      <c r="F47" s="3" t="s">
        <v>394</v>
      </c>
      <c r="G47" s="3"/>
      <c r="H47" s="1">
        <v>77</v>
      </c>
      <c r="I47" s="1">
        <f t="shared" si="1"/>
        <v>4</v>
      </c>
      <c r="J47" s="1">
        <v>1</v>
      </c>
      <c r="K47" s="22">
        <v>6</v>
      </c>
      <c r="L47" s="1"/>
      <c r="O47" s="1" t="s">
        <v>401</v>
      </c>
      <c r="P47" s="1" t="s">
        <v>23</v>
      </c>
      <c r="Q47" s="1" t="s">
        <v>38</v>
      </c>
      <c r="R47" s="1" t="s">
        <v>253</v>
      </c>
      <c r="S47" s="1" t="s">
        <v>302</v>
      </c>
      <c r="T47" s="1" t="s">
        <v>303</v>
      </c>
      <c r="U47" s="1" t="s">
        <v>294</v>
      </c>
      <c r="V47" s="45" t="s">
        <v>208</v>
      </c>
      <c r="W47" s="58"/>
      <c r="Y47" s="1"/>
    </row>
    <row r="48" spans="1:31">
      <c r="A48" s="97" t="s">
        <v>355</v>
      </c>
      <c r="B48" t="s">
        <v>355</v>
      </c>
      <c r="C48" s="1" t="s">
        <v>385</v>
      </c>
      <c r="D48" s="1" t="s">
        <v>366</v>
      </c>
      <c r="E48" s="1">
        <v>1047</v>
      </c>
      <c r="F48" s="3" t="s">
        <v>395</v>
      </c>
      <c r="G48" s="3"/>
      <c r="H48" s="1">
        <v>60</v>
      </c>
      <c r="I48" s="1">
        <f t="shared" si="1"/>
        <v>8</v>
      </c>
      <c r="J48" s="1">
        <v>1</v>
      </c>
      <c r="K48" s="20">
        <v>5</v>
      </c>
      <c r="L48" s="1"/>
      <c r="O48" s="1" t="s">
        <v>397</v>
      </c>
      <c r="P48" s="1" t="s">
        <v>23</v>
      </c>
      <c r="Q48" s="1" t="s">
        <v>38</v>
      </c>
      <c r="R48" s="1" t="s">
        <v>253</v>
      </c>
      <c r="S48" s="1" t="s">
        <v>302</v>
      </c>
      <c r="T48" s="1" t="s">
        <v>303</v>
      </c>
      <c r="U48" s="1" t="s">
        <v>294</v>
      </c>
      <c r="V48" s="108" t="s">
        <v>212</v>
      </c>
      <c r="Y48" s="1"/>
    </row>
    <row r="49" spans="1:26">
      <c r="A49" s="97" t="s">
        <v>356</v>
      </c>
      <c r="B49" t="s">
        <v>357</v>
      </c>
      <c r="C49" s="1" t="s">
        <v>386</v>
      </c>
      <c r="D49" s="1" t="s">
        <v>367</v>
      </c>
      <c r="E49" s="1">
        <v>1048</v>
      </c>
      <c r="F49" s="3" t="s">
        <v>391</v>
      </c>
      <c r="G49" s="3"/>
      <c r="H49" s="1">
        <v>12</v>
      </c>
      <c r="I49" s="1">
        <f t="shared" si="1"/>
        <v>64</v>
      </c>
      <c r="J49" s="1">
        <v>1</v>
      </c>
      <c r="K49" s="4">
        <v>2</v>
      </c>
      <c r="L49" s="1"/>
      <c r="O49" s="1" t="s">
        <v>417</v>
      </c>
      <c r="P49" s="1" t="s">
        <v>23</v>
      </c>
      <c r="Q49" s="1" t="s">
        <v>38</v>
      </c>
      <c r="R49" s="1" t="s">
        <v>253</v>
      </c>
      <c r="S49" s="1" t="s">
        <v>311</v>
      </c>
      <c r="T49" s="1" t="s">
        <v>305</v>
      </c>
      <c r="U49" s="1" t="s">
        <v>308</v>
      </c>
      <c r="V49" s="45" t="s">
        <v>177</v>
      </c>
      <c r="W49" s="58"/>
      <c r="Y49" s="1"/>
    </row>
    <row r="50" spans="1:26">
      <c r="A50" s="97" t="s">
        <v>359</v>
      </c>
      <c r="B50" t="s">
        <v>358</v>
      </c>
      <c r="C50" s="1" t="s">
        <v>387</v>
      </c>
      <c r="D50" s="1" t="s">
        <v>368</v>
      </c>
      <c r="E50" s="1">
        <v>1049</v>
      </c>
      <c r="F50" s="3" t="s">
        <v>392</v>
      </c>
      <c r="G50" s="3"/>
      <c r="H50" s="1">
        <v>12</v>
      </c>
      <c r="I50" s="1">
        <f t="shared" si="1"/>
        <v>64</v>
      </c>
      <c r="J50" s="1">
        <v>1</v>
      </c>
      <c r="K50" s="4">
        <v>2</v>
      </c>
      <c r="L50" s="1"/>
      <c r="O50" s="1" t="s">
        <v>416</v>
      </c>
      <c r="P50" s="1" t="s">
        <v>23</v>
      </c>
      <c r="Q50" s="1" t="s">
        <v>38</v>
      </c>
      <c r="R50" s="1" t="s">
        <v>253</v>
      </c>
      <c r="S50" s="1" t="s">
        <v>311</v>
      </c>
      <c r="T50" s="1" t="s">
        <v>305</v>
      </c>
      <c r="U50" s="1" t="s">
        <v>308</v>
      </c>
      <c r="V50" s="45" t="s">
        <v>165</v>
      </c>
      <c r="W50" s="58"/>
      <c r="Y50" s="1"/>
    </row>
    <row r="51" spans="1:26">
      <c r="A51" s="97" t="s">
        <v>364</v>
      </c>
      <c r="B51" t="s">
        <v>370</v>
      </c>
      <c r="C51" s="1" t="s">
        <v>372</v>
      </c>
      <c r="D51" s="1" t="s">
        <v>371</v>
      </c>
      <c r="E51" s="1">
        <v>1050</v>
      </c>
      <c r="F51" s="3" t="s">
        <v>393</v>
      </c>
      <c r="G51" s="3"/>
      <c r="H51" s="1">
        <v>12</v>
      </c>
      <c r="I51" s="1">
        <f t="shared" si="1"/>
        <v>64</v>
      </c>
      <c r="J51" s="1">
        <v>1</v>
      </c>
      <c r="K51" s="4">
        <v>2</v>
      </c>
      <c r="L51" s="1"/>
      <c r="O51" s="1" t="s">
        <v>398</v>
      </c>
      <c r="P51" s="1" t="s">
        <v>23</v>
      </c>
      <c r="Q51" s="1" t="s">
        <v>38</v>
      </c>
      <c r="R51" s="1" t="s">
        <v>253</v>
      </c>
      <c r="S51" s="1" t="s">
        <v>302</v>
      </c>
      <c r="T51" s="1" t="s">
        <v>303</v>
      </c>
      <c r="U51" s="1" t="s">
        <v>294</v>
      </c>
      <c r="V51" s="46" t="s">
        <v>188</v>
      </c>
      <c r="W51" s="58"/>
      <c r="Y51" s="1"/>
    </row>
    <row r="52" spans="1:26">
      <c r="A52" s="97" t="s">
        <v>375</v>
      </c>
      <c r="B52" t="s">
        <v>373</v>
      </c>
      <c r="C52" s="1" t="s">
        <v>374</v>
      </c>
      <c r="D52" s="1" t="s">
        <v>376</v>
      </c>
      <c r="E52" s="1">
        <v>1051</v>
      </c>
      <c r="F52" s="3" t="s">
        <v>379</v>
      </c>
      <c r="G52" s="3"/>
      <c r="H52" s="1">
        <v>14</v>
      </c>
      <c r="I52" s="1">
        <f t="shared" si="1"/>
        <v>64</v>
      </c>
      <c r="J52" s="1">
        <v>1</v>
      </c>
      <c r="K52" s="4">
        <v>2</v>
      </c>
      <c r="L52" s="1"/>
      <c r="O52" s="1" t="s">
        <v>399</v>
      </c>
      <c r="P52" s="1" t="s">
        <v>23</v>
      </c>
      <c r="Q52" s="1" t="s">
        <v>38</v>
      </c>
      <c r="R52" s="1" t="s">
        <v>253</v>
      </c>
      <c r="S52" s="1" t="s">
        <v>302</v>
      </c>
      <c r="T52" s="1" t="s">
        <v>303</v>
      </c>
      <c r="U52" s="1" t="s">
        <v>294</v>
      </c>
      <c r="V52" s="29" t="s">
        <v>194</v>
      </c>
      <c r="W52" s="58"/>
      <c r="Y52" s="1"/>
    </row>
    <row r="53" spans="1:26">
      <c r="A53" s="97" t="s">
        <v>360</v>
      </c>
      <c r="B53" t="s">
        <v>361</v>
      </c>
      <c r="C53" s="1" t="s">
        <v>388</v>
      </c>
      <c r="D53" s="1" t="s">
        <v>377</v>
      </c>
      <c r="E53" s="1">
        <v>1052</v>
      </c>
      <c r="F53" s="3" t="s">
        <v>380</v>
      </c>
      <c r="G53" s="3"/>
      <c r="H53" s="1">
        <v>34</v>
      </c>
      <c r="I53" s="1">
        <f t="shared" si="1"/>
        <v>32</v>
      </c>
      <c r="J53" s="1">
        <v>0</v>
      </c>
      <c r="K53" s="18">
        <v>3</v>
      </c>
      <c r="L53" s="1"/>
      <c r="O53" s="1" t="s">
        <v>400</v>
      </c>
      <c r="P53" s="1" t="s">
        <v>23</v>
      </c>
      <c r="Q53" s="1" t="s">
        <v>38</v>
      </c>
      <c r="R53" s="1" t="s">
        <v>292</v>
      </c>
      <c r="S53" s="1" t="s">
        <v>427</v>
      </c>
      <c r="T53" s="1" t="s">
        <v>421</v>
      </c>
      <c r="U53" s="1" t="s">
        <v>428</v>
      </c>
      <c r="V53" s="29" t="s">
        <v>210</v>
      </c>
      <c r="W53" s="58"/>
      <c r="Y53" s="1"/>
    </row>
    <row r="54" spans="1:26">
      <c r="A54" s="98" t="s">
        <v>362</v>
      </c>
      <c r="B54" t="s">
        <v>362</v>
      </c>
      <c r="C54" s="1" t="s">
        <v>381</v>
      </c>
      <c r="D54" s="1" t="s">
        <v>378</v>
      </c>
      <c r="E54" s="1">
        <v>1053</v>
      </c>
      <c r="F54" s="3" t="s">
        <v>150</v>
      </c>
      <c r="G54" s="3"/>
      <c r="H54" s="1">
        <v>130</v>
      </c>
      <c r="I54" s="1">
        <f t="shared" si="1"/>
        <v>1</v>
      </c>
      <c r="J54" s="1">
        <v>0</v>
      </c>
      <c r="K54" s="23">
        <v>8</v>
      </c>
      <c r="L54" s="1"/>
      <c r="O54" s="1" t="s">
        <v>415</v>
      </c>
      <c r="P54" s="1" t="s">
        <v>23</v>
      </c>
      <c r="Q54" s="1" t="s">
        <v>38</v>
      </c>
      <c r="R54" s="1" t="s">
        <v>292</v>
      </c>
      <c r="S54" s="1" t="s">
        <v>311</v>
      </c>
      <c r="T54" s="1" t="s">
        <v>305</v>
      </c>
      <c r="U54" s="1" t="s">
        <v>308</v>
      </c>
      <c r="V54" s="29" t="s">
        <v>96</v>
      </c>
      <c r="W54" s="58"/>
      <c r="Y54" s="1"/>
    </row>
    <row r="55" spans="1:26">
      <c r="C55" s="1"/>
      <c r="F55" s="3"/>
      <c r="G55" s="3"/>
      <c r="H55" s="1"/>
      <c r="I55" s="1"/>
      <c r="J55" s="1"/>
      <c r="K55" s="2"/>
      <c r="L55" s="1"/>
      <c r="O55" s="1"/>
      <c r="P55" s="1"/>
      <c r="Q55" s="1"/>
      <c r="R55" s="1"/>
      <c r="S55" s="1"/>
      <c r="T55" s="1"/>
      <c r="V55" s="29" t="s">
        <v>217</v>
      </c>
      <c r="W55" s="58"/>
      <c r="Y55" s="1"/>
    </row>
    <row r="56" spans="1:26">
      <c r="C56" s="1"/>
      <c r="F56" s="3"/>
      <c r="G56" s="3"/>
      <c r="H56" s="1"/>
      <c r="I56" s="1"/>
      <c r="J56" s="1"/>
      <c r="K56" s="2"/>
      <c r="L56" s="1"/>
      <c r="O56" s="1"/>
      <c r="P56" s="1"/>
      <c r="Q56" s="1"/>
      <c r="R56" s="1"/>
      <c r="S56" s="1"/>
      <c r="T56" s="1"/>
      <c r="V56" s="29" t="s">
        <v>117</v>
      </c>
      <c r="W56" s="58"/>
      <c r="Y56" s="1"/>
    </row>
    <row r="57" spans="1:26">
      <c r="C57" s="1"/>
      <c r="F57" s="3"/>
      <c r="G57" s="3"/>
      <c r="H57" s="1"/>
      <c r="I57" s="1"/>
      <c r="J57" s="1"/>
      <c r="K57" s="2"/>
      <c r="L57" s="1"/>
      <c r="O57" s="1"/>
      <c r="P57" s="1"/>
      <c r="Q57" s="1"/>
      <c r="R57" s="1"/>
      <c r="S57" s="1"/>
      <c r="T57" s="1"/>
      <c r="V57" s="39" t="s">
        <v>151</v>
      </c>
      <c r="W57" s="58"/>
      <c r="Y57" s="1"/>
    </row>
    <row r="58" spans="1:26">
      <c r="C58" s="1"/>
      <c r="F58" s="3"/>
      <c r="G58" s="3"/>
      <c r="H58" s="1"/>
      <c r="I58" s="1"/>
      <c r="J58" s="1"/>
      <c r="K58" s="2"/>
      <c r="L58" s="1"/>
      <c r="O58" s="1"/>
      <c r="P58" s="1"/>
      <c r="Q58" s="1"/>
      <c r="R58" s="1"/>
      <c r="S58" s="1"/>
      <c r="T58" s="1"/>
      <c r="V58" s="39" t="s">
        <v>141</v>
      </c>
      <c r="W58" s="58"/>
      <c r="Y58" s="1"/>
    </row>
    <row r="59" spans="1:26">
      <c r="C59" s="1"/>
      <c r="F59" s="3"/>
      <c r="G59" s="3"/>
      <c r="H59" s="1"/>
      <c r="I59" s="1"/>
      <c r="J59" s="1"/>
      <c r="K59" s="2"/>
      <c r="L59" s="1"/>
      <c r="O59" s="1"/>
      <c r="P59" s="1"/>
      <c r="Q59" s="1"/>
      <c r="R59" s="1"/>
      <c r="S59" s="1"/>
      <c r="T59" s="1"/>
      <c r="V59" s="39" t="s">
        <v>146</v>
      </c>
      <c r="W59" s="58"/>
      <c r="Y59" s="1"/>
    </row>
    <row r="60" spans="1:26">
      <c r="C60" s="1"/>
      <c r="F60" s="3"/>
      <c r="G60" s="3"/>
      <c r="H60" s="1"/>
      <c r="I60" s="1"/>
      <c r="J60" s="1"/>
      <c r="K60" s="2"/>
      <c r="L60" s="1"/>
      <c r="O60" s="1"/>
      <c r="P60" s="1"/>
      <c r="Q60" s="1"/>
      <c r="R60" s="1"/>
      <c r="S60" s="1"/>
      <c r="T60" s="1"/>
      <c r="V60" s="39" t="s">
        <v>205</v>
      </c>
      <c r="W60" s="58"/>
      <c r="Y60" s="1"/>
    </row>
    <row r="61" spans="1:26">
      <c r="C61" s="1"/>
      <c r="F61" s="3"/>
      <c r="G61" s="3"/>
      <c r="H61" s="1"/>
      <c r="I61" s="1"/>
      <c r="J61" s="1"/>
      <c r="K61" s="2"/>
      <c r="L61" s="1"/>
      <c r="O61" s="1"/>
      <c r="P61" s="1"/>
      <c r="Q61" s="1"/>
      <c r="R61" s="1"/>
      <c r="S61" s="1"/>
      <c r="T61" s="1"/>
      <c r="V61" s="41" t="s">
        <v>127</v>
      </c>
      <c r="W61" s="58"/>
      <c r="Y61" s="1"/>
    </row>
    <row r="62" spans="1:26">
      <c r="C62" s="1"/>
      <c r="F62" s="3"/>
      <c r="G62" s="3"/>
      <c r="H62" s="1"/>
      <c r="I62" s="1"/>
      <c r="J62" s="1"/>
      <c r="K62" s="2"/>
      <c r="L62" s="1"/>
      <c r="O62" s="1"/>
      <c r="P62" s="1"/>
      <c r="Q62" s="1"/>
      <c r="R62" s="1"/>
      <c r="S62" s="1"/>
      <c r="T62" s="1"/>
      <c r="V62" s="40" t="s">
        <v>216</v>
      </c>
      <c r="W62" s="58"/>
      <c r="Y62" s="1"/>
    </row>
    <row r="63" spans="1:26">
      <c r="C63" s="1"/>
      <c r="F63" s="3"/>
      <c r="G63" s="3"/>
      <c r="H63" s="1"/>
      <c r="I63" s="1"/>
      <c r="J63" s="1"/>
      <c r="K63" s="2"/>
      <c r="L63" s="1"/>
      <c r="O63" s="1"/>
      <c r="P63" s="1"/>
      <c r="Q63" s="1"/>
      <c r="R63" s="1"/>
      <c r="S63" s="1"/>
      <c r="T63" s="1"/>
      <c r="Z63" s="1"/>
    </row>
    <row r="64" spans="1:26">
      <c r="C64" s="1"/>
      <c r="F64" s="3"/>
      <c r="G64" s="3"/>
      <c r="H64" s="1"/>
      <c r="I64" s="1"/>
      <c r="J64" s="1"/>
      <c r="K64" s="2"/>
      <c r="L64" s="1"/>
      <c r="O64" s="1"/>
      <c r="P64" s="1"/>
      <c r="Q64" s="1"/>
      <c r="R64" s="1"/>
      <c r="S64" s="1"/>
      <c r="T64" s="1"/>
      <c r="X64" s="59"/>
      <c r="Z64" s="1"/>
    </row>
    <row r="65" spans="3:26">
      <c r="C65" s="1"/>
      <c r="F65" s="3"/>
      <c r="G65" s="3"/>
      <c r="H65" s="1"/>
      <c r="I65" s="1"/>
      <c r="J65" s="1"/>
      <c r="K65" s="2"/>
      <c r="L65" s="1"/>
      <c r="O65" s="1"/>
      <c r="P65" s="1"/>
      <c r="Q65" s="1"/>
      <c r="R65" s="1"/>
      <c r="S65" s="1"/>
      <c r="T65" s="1"/>
      <c r="X65" s="59"/>
      <c r="Z65" s="1"/>
    </row>
    <row r="66" spans="3:26">
      <c r="C66" s="1"/>
      <c r="F66" s="3"/>
      <c r="G66" s="3"/>
      <c r="H66" s="1"/>
      <c r="I66" s="1"/>
      <c r="J66" s="1"/>
      <c r="K66" s="2"/>
      <c r="L66" s="1"/>
      <c r="O66" s="1"/>
      <c r="P66" s="1"/>
      <c r="Q66" s="1"/>
      <c r="R66" s="1"/>
      <c r="S66" s="1"/>
      <c r="T66" s="1"/>
    </row>
    <row r="67" spans="3:26">
      <c r="C67" s="1"/>
      <c r="F67" s="3"/>
      <c r="G67" s="3"/>
      <c r="H67" s="1"/>
      <c r="I67" s="1"/>
      <c r="J67" s="1"/>
      <c r="K67" s="2"/>
      <c r="L67" s="1"/>
      <c r="O67" s="1"/>
      <c r="P67" s="1"/>
      <c r="Q67" s="1"/>
      <c r="R67" s="1"/>
      <c r="S67" s="1"/>
      <c r="T67" s="1"/>
    </row>
    <row r="68" spans="3:26">
      <c r="C68" s="1"/>
      <c r="F68" s="3"/>
      <c r="G68" s="3"/>
      <c r="H68" s="1"/>
      <c r="I68" s="1"/>
      <c r="J68" s="1"/>
      <c r="K68" s="2"/>
      <c r="L68" s="1"/>
      <c r="O68" s="1"/>
      <c r="P68" s="1"/>
      <c r="Q68" s="1"/>
      <c r="R68" s="1"/>
      <c r="S68" s="1"/>
      <c r="T68" s="1"/>
    </row>
    <row r="69" spans="3:26">
      <c r="C69" s="1"/>
      <c r="F69" s="3"/>
      <c r="G69" s="3"/>
      <c r="H69" s="1"/>
      <c r="I69" s="1"/>
      <c r="J69" s="1"/>
      <c r="K69" s="2"/>
      <c r="L69" s="1"/>
      <c r="O69" s="1"/>
      <c r="P69" s="1"/>
      <c r="Q69" s="1"/>
      <c r="R69" s="1"/>
      <c r="S69" s="1"/>
      <c r="T69" s="1"/>
    </row>
  </sheetData>
  <mergeCells count="1">
    <mergeCell ref="AA1:AE1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41E0B2-023C-4CD3-A6C5-FEE377DC27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鱼鱼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 Luo;沖田晴留々</dc:creator>
  <cp:keywords/>
  <dc:description/>
  <cp:lastModifiedBy>Tao Luo</cp:lastModifiedBy>
  <cp:revision/>
  <dcterms:created xsi:type="dcterms:W3CDTF">2015-06-05T18:19:34Z</dcterms:created>
  <dcterms:modified xsi:type="dcterms:W3CDTF">2024-12-02T15:43:47Z</dcterms:modified>
  <cp:category/>
  <cp:contentStatus/>
  <cp:version>v010_Jun17 24</cp:version>
</cp:coreProperties>
</file>